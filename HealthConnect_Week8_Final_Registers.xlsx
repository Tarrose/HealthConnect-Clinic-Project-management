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al Workstream Status" sheetId="1" state="visible" r:id="rId3"/>
    <sheet name="Updated Timeline" sheetId="2" state="visible" r:id="rId4"/>
    <sheet name="Final Dependency Register" sheetId="3" state="visible" r:id="rId5"/>
    <sheet name="Final Risk Register" sheetId="4" state="visible" r:id="rId6"/>
    <sheet name="Final Decision Log" sheetId="5" state="visible" r:id="rId7"/>
    <sheet name="Final Integration Record" sheetId="6" state="visible" r:id="rId8"/>
    <sheet name="Project Readiness Assessment" sheetId="7" state="visible" r:id="rId9"/>
  </sheets>
  <definedNames>
    <definedName function="false" hidden="true" localSheetId="4" name="_xlnm._FilterDatabase" vbProcedure="false">'Final Decision Log'!$A$4:$F$11</definedName>
    <definedName function="false" hidden="true" localSheetId="2" name="_xlnm._FilterDatabase" vbProcedure="false">'Final Dependency Register'!$A$4:$L$9</definedName>
    <definedName function="false" hidden="true" localSheetId="5" name="_xlnm._FilterDatabase" vbProcedure="false">'Final Integration Record'!$A$4:$G$10</definedName>
    <definedName function="false" hidden="true" localSheetId="3" name="_xlnm._FilterDatabase" vbProcedure="false">'Final Risk Register'!$A$4:$I$17</definedName>
    <definedName function="false" hidden="true" localSheetId="0" name="_xlnm._FilterDatabase" vbProcedure="false">'Final Workstream Status'!$A$4:$E$9</definedName>
    <definedName function="false" hidden="true" localSheetId="6" name="_xlnm._FilterDatabase" vbProcedure="false">'Project Readiness Assessment'!$A$4:$D$12</definedName>
    <definedName function="false" hidden="true" localSheetId="1" name="_xlnm._FilterDatabase" vbProcedure="false">'Updated Timeline'!$A$4:$G$54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<sst xmlns="http://schemas.openxmlformats.org/spreadsheetml/2006/main" count="632" uniqueCount="414">
  <si>
    <t xml:space="preserve">HealthConnect Project — Final Workstream Status</t>
  </si>
  <si>
    <t xml:space="preserve">Honest status as of Week 8. This is a foundational-stage proof of concept, not a completed production system.</t>
  </si>
  <si>
    <t xml:space="preserve">Workstream</t>
  </si>
  <si>
    <t xml:space="preserve">Final Deliverable This Stage</t>
  </si>
  <si>
    <t xml:space="preserve">Status</t>
  </si>
  <si>
    <t xml:space="preserve">Evidence</t>
  </si>
  <si>
    <t xml:space="preserve">What Remains</t>
  </si>
  <si>
    <t xml:space="preserve">Project Management</t>
  </si>
  <si>
    <t xml:space="preserve">Full Initiating/Planning documentation set; integration and testing coordination through Week 7</t>
  </si>
  <si>
    <t xml:space="preserve">Complete for this stage</t>
  </si>
  <si>
    <t xml:space="preserve">Charter, Schedule, Risk/Dependency Registers, Testing Records (Weeks 4–7)</t>
  </si>
  <si>
    <t xml:space="preserve">Coordinate Phases 5–8 (build, pilot, deployment, handover) as the project continues</t>
  </si>
  <si>
    <t xml:space="preserve">Data Analytics</t>
  </si>
  <si>
    <t xml:space="preserve">Validated KPIs and no-show findings, refined dashboard</t>
  </si>
  <si>
    <t xml:space="preserve">Week 6–7 validated findings, retested at full Phase 3 scale</t>
  </si>
  <si>
    <t xml:space="preserve">Ongoing monitoring once the model and dashboard are in active use</t>
  </si>
  <si>
    <t xml:space="preserve">Data Science</t>
  </si>
  <si>
    <t xml:space="preserve">Candidate no-show prediction model, tested and compared to baseline</t>
  </si>
  <si>
    <t xml:space="preserve">In progress</t>
  </si>
  <si>
    <t xml:space="preserve">Week 6 model comparison; Week 7 testing under way at Week 7 checkpoint</t>
  </si>
  <si>
    <t xml:space="preserve">Finalise model selection and complete Phase 5 build</t>
  </si>
  <si>
    <t xml:space="preserve">ML Engineering</t>
  </si>
  <si>
    <t xml:space="preserve">Initial pipeline integration and validation</t>
  </si>
  <si>
    <t xml:space="preserve">Week 6 integration; Week 7 component testing</t>
  </si>
  <si>
    <t xml:space="preserve">Full pipeline build and reliability hardening in Phase 5</t>
  </si>
  <si>
    <t xml:space="preserve">Generative AI</t>
  </si>
  <si>
    <t xml:space="preserve">Refined, safety-tested patient information assistant prototype</t>
  </si>
  <si>
    <t xml:space="preserve">Week 6–7 refinement and retesting against an expanded scenario set</t>
  </si>
  <si>
    <t xml:space="preserve">Full assistant build within Phase 5; production integration in Phase 7</t>
  </si>
  <si>
    <t xml:space="preserve">HealthConnect Project — Updated Timeline (Final Checkpoint, Week 8)</t>
  </si>
  <si>
    <t xml:space="preserve">Phase 4 gate passed; Phase 5 (Model &amp; Assistant Development) now under way. Phases 6–8 remain ahead.</t>
  </si>
  <si>
    <t xml:space="preserve">Major Phase</t>
  </si>
  <si>
    <t xml:space="preserve">Key Activity</t>
  </si>
  <si>
    <t xml:space="preserve">Milestone</t>
  </si>
  <si>
    <t xml:space="preserve">Start Date</t>
  </si>
  <si>
    <t xml:space="preserve">End Date</t>
  </si>
  <si>
    <t xml:space="preserve">Depends On</t>
  </si>
  <si>
    <t xml:space="preserve">Phase 1 — Project Initiation
(2026-08-31 to 2026-09-15)</t>
  </si>
  <si>
    <t xml:space="preserve">    •  1.1  Confirm business problem &amp; central question</t>
  </si>
  <si>
    <t xml:space="preserve">2026-08-31</t>
  </si>
  <si>
    <t xml:space="preserve">2026-09-01</t>
  </si>
  <si>
    <t xml:space="preserve">Complete</t>
  </si>
  <si>
    <t xml:space="preserve">—</t>
  </si>
  <si>
    <t xml:space="preserve">    •  1.2  Review data resources &amp; confirm assumptions</t>
  </si>
  <si>
    <t xml:space="preserve">    •  1.3  Develop Project Charter &amp; obtain Sponsor sign-off</t>
  </si>
  <si>
    <t xml:space="preserve">2026-09-02</t>
  </si>
  <si>
    <t xml:space="preserve">2026-09-10</t>
  </si>
  <si>
    <t xml:space="preserve">1.1; 1.2</t>
  </si>
  <si>
    <t xml:space="preserve">    •  1.4  Compile Stakeholder Register</t>
  </si>
  <si>
    <t xml:space="preserve">2026-09-11</t>
  </si>
  <si>
    <t xml:space="preserve">2026-09-15</t>
  </si>
  <si>
    <t xml:space="preserve">1.3</t>
  </si>
  <si>
    <t xml:space="preserve">    •  1.5  Confirm resourcing</t>
  </si>
  <si>
    <t xml:space="preserve">Project Charter approved by Sponsor</t>
  </si>
  <si>
    <t xml:space="preserve">Achieved</t>
  </si>
  <si>
    <t xml:space="preserve">Phase 2 — Planning
(2026-09-16 to 2026-10-02)</t>
  </si>
  <si>
    <t xml:space="preserve">    •  2.1  Develop Work Breakdown Structure</t>
  </si>
  <si>
    <t xml:space="preserve">2026-09-16</t>
  </si>
  <si>
    <t xml:space="preserve">2026-09-18</t>
  </si>
  <si>
    <t xml:space="preserve">1.4; 1.5</t>
  </si>
  <si>
    <t xml:space="preserve">    •  2.2  Develop project schedule (activity durations &amp; dependencies)</t>
  </si>
  <si>
    <t xml:space="preserve">2026-09-21</t>
  </si>
  <si>
    <t xml:space="preserve">2026-09-23</t>
  </si>
  <si>
    <t xml:space="preserve">2.1</t>
  </si>
  <si>
    <t xml:space="preserve">    •  2.3  Build network diagram &amp; critical path analysis</t>
  </si>
  <si>
    <t xml:space="preserve">2026-09-24</t>
  </si>
  <si>
    <t xml:space="preserve">2026-09-25</t>
  </si>
  <si>
    <t xml:space="preserve">2.2</t>
  </si>
  <si>
    <t xml:space="preserve">    •  2.4  Conduct schedule risk analysis</t>
  </si>
  <si>
    <t xml:space="preserve">2026-09-28</t>
  </si>
  <si>
    <t xml:space="preserve">2026-09-29</t>
  </si>
  <si>
    <t xml:space="preserve">2.3</t>
  </si>
  <si>
    <t xml:space="preserve">    •  2.5  Develop Resource Management Plan</t>
  </si>
  <si>
    <t xml:space="preserve">    •  2.6  Develop Communication Plan</t>
  </si>
  <si>
    <t xml:space="preserve">2026-09-17</t>
  </si>
  <si>
    <t xml:space="preserve">1.4</t>
  </si>
  <si>
    <t xml:space="preserve">    •  2.7  Develop Quality Management Plan</t>
  </si>
  <si>
    <t xml:space="preserve">    •  2.8  Develop cost baseline / Project Budget</t>
  </si>
  <si>
    <t xml:space="preserve">    •  2.9  Expand Risk Register &amp; Dependency Register to full planning detail</t>
  </si>
  <si>
    <t xml:space="preserve">2026-09-30</t>
  </si>
  <si>
    <t xml:space="preserve">2026-10-01</t>
  </si>
  <si>
    <t xml:space="preserve">2.4</t>
  </si>
  <si>
    <t xml:space="preserve">    •  2.10  Planning phase gate: baseline sign-off (scope, schedule, cost)</t>
  </si>
  <si>
    <t xml:space="preserve">2026-10-02</t>
  </si>
  <si>
    <t xml:space="preserve">2.4; 2.5; 2.6; 2.7; 2.8; 2.9</t>
  </si>
  <si>
    <t xml:space="preserve">Planning phase gate: baseline sign-off (scope, schedule, cost)</t>
  </si>
  <si>
    <t xml:space="preserve">Phase 3 — Analysis &amp; Data Preparation
(2026-10-05 to 2026-10-14)</t>
  </si>
  <si>
    <t xml:space="preserve">    •  3.1  Data quality assessment &amp; cleaning</t>
  </si>
  <si>
    <t xml:space="preserve">2026-10-05</t>
  </si>
  <si>
    <t xml:space="preserve">2026-10-09</t>
  </si>
  <si>
    <t xml:space="preserve">2.10</t>
  </si>
  <si>
    <t xml:space="preserve">    •  3.2  Exploratory data analysis &amp; KPI definition</t>
  </si>
  <si>
    <t xml:space="preserve">    •  3.3  Confirm/construct unified patient identifier</t>
  </si>
  <si>
    <t xml:space="preserve">    •  3.4  Define no-show prediction problem</t>
  </si>
  <si>
    <t xml:space="preserve">2026-10-12</t>
  </si>
  <si>
    <t xml:space="preserve">2026-10-14</t>
  </si>
  <si>
    <t xml:space="preserve">3.1; 3.2; 3.3</t>
  </si>
  <si>
    <t xml:space="preserve">No-show prediction problem formally defined</t>
  </si>
  <si>
    <t xml:space="preserve">Achieved — validated</t>
  </si>
  <si>
    <t xml:space="preserve">Phase 4 — Solution Design
(2026-10-15 to 2026-10-28)</t>
  </si>
  <si>
    <t xml:space="preserve">    •  4.1  Model design &amp; validation approach</t>
  </si>
  <si>
    <t xml:space="preserve">2026-10-15</t>
  </si>
  <si>
    <t xml:space="preserve">2026-10-20</t>
  </si>
  <si>
    <t xml:space="preserve">3.4</t>
  </si>
  <si>
    <t xml:space="preserve">    •  4.2  Segmentation design</t>
  </si>
  <si>
    <t xml:space="preserve">    •  4.3  ML system architecture &amp; reproducibility design</t>
  </si>
  <si>
    <t xml:space="preserve">2026-10-21</t>
  </si>
  <si>
    <t xml:space="preserve">2026-10-27</t>
  </si>
  <si>
    <t xml:space="preserve">4.1; 4.2</t>
  </si>
  <si>
    <t xml:space="preserve">    •  4.4  GenAI assistant scope &amp; safety boundaries</t>
  </si>
  <si>
    <t xml:space="preserve">    •  4.5  Dashboard/report design</t>
  </si>
  <si>
    <t xml:space="preserve">    •  4.6  Phase gate: design review &amp; Sponsor go/no-go</t>
  </si>
  <si>
    <t xml:space="preserve">2026-10-28</t>
  </si>
  <si>
    <t xml:space="preserve">4.3; 4.4; 4.5</t>
  </si>
  <si>
    <t xml:space="preserve">Design approved at Phase Gate (Sponsor go/no-go)</t>
  </si>
  <si>
    <t xml:space="preserve">Achieved this week</t>
  </si>
  <si>
    <t xml:space="preserve">Phase 5 — Model &amp; Assistant Development
(2026-10-29 to 2027-02-04)</t>
  </si>
  <si>
    <t xml:space="preserve">    •  5.1  Build &amp; iteratively test no-show prediction model</t>
  </si>
  <si>
    <t xml:space="preserve">2026-10-29</t>
  </si>
  <si>
    <t xml:space="preserve">2027-01-20</t>
  </si>
  <si>
    <t xml:space="preserve">In Progress</t>
  </si>
  <si>
    <t xml:space="preserve">4.6</t>
  </si>
  <si>
    <t xml:space="preserve">    •  5.2  Build data integration / pipeline</t>
  </si>
  <si>
    <t xml:space="preserve">2026-11-25</t>
  </si>
  <si>
    <t xml:space="preserve">    •  5.3  Build reproducible ML pipeline &amp; version control</t>
  </si>
  <si>
    <t xml:space="preserve">2026-11-26</t>
  </si>
  <si>
    <t xml:space="preserve">Not Started</t>
  </si>
  <si>
    <t xml:space="preserve">5.2</t>
  </si>
  <si>
    <t xml:space="preserve">    •  5.4  Build GenAI assistant prototype</t>
  </si>
  <si>
    <t xml:space="preserve">2027-02-03</t>
  </si>
  <si>
    <t xml:space="preserve">    •  5.5  Build dashboard/reporting</t>
  </si>
  <si>
    <t xml:space="preserve">2027-01-13</t>
  </si>
  <si>
    <t xml:space="preserve">    •  5.6  Mid-development integration checkpoint</t>
  </si>
  <si>
    <t xml:space="preserve">2027-02-04</t>
  </si>
  <si>
    <t xml:space="preserve">5.1; 5.3; 5.4; 5.5</t>
  </si>
  <si>
    <t xml:space="preserve">Mid-development integration checkpoint</t>
  </si>
  <si>
    <t xml:space="preserve">Not due</t>
  </si>
  <si>
    <t xml:space="preserve">Phase 6 — Pilot Campaign
(2027-02-05 to 2027-02-19)</t>
  </si>
  <si>
    <t xml:space="preserve">    •  6.1  Validate segments with clinic staff</t>
  </si>
  <si>
    <t xml:space="preserve">2027-02-05</t>
  </si>
  <si>
    <t xml:space="preserve">2027-02-08</t>
  </si>
  <si>
    <t xml:space="preserve">5.6</t>
  </si>
  <si>
    <t xml:space="preserve">    •  6.2  Train staff on dashboard &amp; flagged-patient process</t>
  </si>
  <si>
    <t xml:space="preserve">2027-02-09</t>
  </si>
  <si>
    <t xml:space="preserve">2027-02-11</t>
  </si>
  <si>
    <t xml:space="preserve">6.1</t>
  </si>
  <si>
    <t xml:space="preserve">    •  6.3  Run pilot reminder/retention campaign</t>
  </si>
  <si>
    <t xml:space="preserve">2027-02-12</t>
  </si>
  <si>
    <t xml:space="preserve">2027-02-18</t>
  </si>
  <si>
    <t xml:space="preserve">6.2</t>
  </si>
  <si>
    <t xml:space="preserve">    •  6.4  Measure pilot results vs. control group</t>
  </si>
  <si>
    <t xml:space="preserve">2027-02-19</t>
  </si>
  <si>
    <t xml:space="preserve">6.3</t>
  </si>
  <si>
    <t xml:space="preserve">Pilot results measured against control group</t>
  </si>
  <si>
    <t xml:space="preserve">Phase 7 — Testing, Deployment &amp; Monitoring
(2027-02-22 to 2027-03-10)</t>
  </si>
  <si>
    <t xml:space="preserve">    •  7.1  Model validation against test data &amp; KPI targets</t>
  </si>
  <si>
    <t xml:space="preserve">2027-02-22</t>
  </si>
  <si>
    <t xml:space="preserve">2027-02-24</t>
  </si>
  <si>
    <t xml:space="preserve">6.4</t>
  </si>
  <si>
    <t xml:space="preserve">    •  7.2  Assistant safety &amp; scope testing</t>
  </si>
  <si>
    <t xml:space="preserve">    •  7.3  Production deployment</t>
  </si>
  <si>
    <t xml:space="preserve">2027-02-25</t>
  </si>
  <si>
    <t xml:space="preserve">2027-03-03</t>
  </si>
  <si>
    <t xml:space="preserve">7.1; 7.2</t>
  </si>
  <si>
    <t xml:space="preserve">    •  7.4  Establish monitoring &amp; retraining schedule</t>
  </si>
  <si>
    <t xml:space="preserve">2027-03-04</t>
  </si>
  <si>
    <t xml:space="preserve">2027-03-10</t>
  </si>
  <si>
    <t xml:space="preserve">7.3</t>
  </si>
  <si>
    <t xml:space="preserve">Model and assistant live in production</t>
  </si>
  <si>
    <t xml:space="preserve">Phase 8 — Operational Handover &amp; Closure
(2027-03-11 to 2027-03-17)</t>
  </si>
  <si>
    <t xml:space="preserve">    •  8.1  Train internal IT/Data team</t>
  </si>
  <si>
    <t xml:space="preserve">2027-03-11</t>
  </si>
  <si>
    <t xml:space="preserve">2027-03-15</t>
  </si>
  <si>
    <t xml:space="preserve">7.4</t>
  </si>
  <si>
    <t xml:space="preserve">    •  8.2  Final presentation &amp; documentation handover</t>
  </si>
  <si>
    <t xml:space="preserve">2027-03-16</t>
  </si>
  <si>
    <t xml:space="preserve">8.1</t>
  </si>
  <si>
    <t xml:space="preserve">    •  8.3  Project closure &amp; lessons learned</t>
  </si>
  <si>
    <t xml:space="preserve">2027-03-17</t>
  </si>
  <si>
    <t xml:space="preserve">8.2</t>
  </si>
  <si>
    <t xml:space="preserve">Operational handover complete; project closed</t>
  </si>
  <si>
    <t xml:space="preserve">HealthConnect Project — Final Dependency Register</t>
  </si>
  <si>
    <t xml:space="preserve">Full history preserved; only unresolved items require action going forward</t>
  </si>
  <si>
    <t xml:space="preserve">Dependency ID</t>
  </si>
  <si>
    <t xml:space="preserve">Dependency / Description</t>
  </si>
  <si>
    <t xml:space="preserve">Dependent Activity/Task</t>
  </si>
  <si>
    <t xml:space="preserve">Dependency Type</t>
  </si>
  <si>
    <t xml:space="preserve">Source / Owner</t>
  </si>
  <si>
    <t xml:space="preserve">Required By</t>
  </si>
  <si>
    <t xml:space="preserve">Impact if Delayed</t>
  </si>
  <si>
    <t xml:space="preserve">Criticality</t>
  </si>
  <si>
    <t xml:space="preserve">Mitigation / Action</t>
  </si>
  <si>
    <t xml:space="preserve">Responsible Person</t>
  </si>
  <si>
    <t xml:space="preserve">Notes</t>
  </si>
  <si>
    <t xml:space="preserve">DEP-002</t>
  </si>
  <si>
    <t xml:space="preserve">A common (or derivable) patient identifier confirmed across scheduling and reminder records</t>
  </si>
  <si>
    <t xml:space="preserve">3.3 Confirm/construct unified patient identifier</t>
  </si>
  <si>
    <t xml:space="preserve">Technical</t>
  </si>
  <si>
    <t xml:space="preserve">Data Engineer</t>
  </si>
  <si>
    <t xml:space="preserve">Validated</t>
  </si>
  <si>
    <t xml:space="preserve">Data integration would require rework</t>
  </si>
  <si>
    <t xml:space="preserve">Critical</t>
  </si>
  <si>
    <t xml:space="preserve">Fallback linking key tested at full Phase 3 scale (Week 7)</t>
  </si>
  <si>
    <t xml:space="preserve">Closed — no further action</t>
  </si>
  <si>
    <t xml:space="preserve">DEP-004</t>
  </si>
  <si>
    <t xml:space="preserve">Finalised, Sponsor-approved Clinic Knowledge Base scope for the patient information assistant</t>
  </si>
  <si>
    <t xml:space="preserve">4.4 GenAI assistant scope &amp; safety boundaries</t>
  </si>
  <si>
    <t xml:space="preserve">Content / Governance</t>
  </si>
  <si>
    <t xml:space="preserve">Generative AI Developer</t>
  </si>
  <si>
    <t xml:space="preserve">Assistant scope could remain unreliable under real use</t>
  </si>
  <si>
    <t xml:space="preserve">High</t>
  </si>
  <si>
    <t xml:space="preserve">Retested against an expanded scenario set (Week 7)</t>
  </si>
  <si>
    <t xml:space="preserve">DEP-009</t>
  </si>
  <si>
    <t xml:space="preserve">Confirmed dedicated IT Lead capacity, prioritised against the IT Lead's other commitments</t>
  </si>
  <si>
    <t xml:space="preserve">3.3 Confirm/construct unified patient identifier; ongoing IT support</t>
  </si>
  <si>
    <t xml:space="preserve">Resource</t>
  </si>
  <si>
    <t xml:space="preserve">IT Lead's Line Manager</t>
  </si>
  <si>
    <t xml:space="preserve">Open — unresolved</t>
  </si>
  <si>
    <t xml:space="preserve">Identifier resolution and later deployment support both delayed</t>
  </si>
  <si>
    <t xml:space="preserve">Medium</t>
  </si>
  <si>
    <t xml:space="preserve">Escalated twice (Weeks 6–7); still awaiting a Sponsor resourcing decision</t>
  </si>
  <si>
    <t xml:space="preserve">Project Manager</t>
  </si>
  <si>
    <t xml:space="preserve">Carried into Phase 5 as a live risk — not resolved by testing alone</t>
  </si>
  <si>
    <t xml:space="preserve">DEP-011</t>
  </si>
  <si>
    <t xml:space="preserve">Data Science candidate model interface (input/output format) needed before pipeline integration work can begin</t>
  </si>
  <si>
    <t xml:space="preserve">5.3 Build reproducible ML pipeline &amp; version control</t>
  </si>
  <si>
    <t xml:space="preserve">Data Scientist</t>
  </si>
  <si>
    <t xml:space="preserve">Phase 5</t>
  </si>
  <si>
    <t xml:space="preserve">Open — in progress</t>
  </si>
  <si>
    <t xml:space="preserve">ML Engineering integration work blocked at the start of full Phase 5 build</t>
  </si>
  <si>
    <t xml:space="preserve">Being defined as Data Science finalises model selection in Phase 5</t>
  </si>
  <si>
    <t xml:space="preserve">Data Scientist / ML Engineer</t>
  </si>
  <si>
    <t xml:space="preserve">On track; not yet a blocker</t>
  </si>
  <si>
    <t xml:space="preserve">DEP-013</t>
  </si>
  <si>
    <t xml:space="preserve">Sponsor decision on IT Lead resourcing conflict, required before Phase 7 deployment planning</t>
  </si>
  <si>
    <t xml:space="preserve">7.3 Production deployment</t>
  </si>
  <si>
    <t xml:space="preserve">Governance</t>
  </si>
  <si>
    <t xml:space="preserve">Sponsor</t>
  </si>
  <si>
    <t xml:space="preserve">Before Phase 7</t>
  </si>
  <si>
    <t xml:space="preserve">Deployment support unavailable if unresolved</t>
  </si>
  <si>
    <t xml:space="preserve">Raised as an explicit item for the final presentation and Sponsor review</t>
  </si>
  <si>
    <t xml:space="preserve">New — formalises DEP-009 as a named decision the Sponsor must make</t>
  </si>
  <si>
    <t xml:space="preserve">HealthConnect Project — Final Risk Register</t>
  </si>
  <si>
    <t xml:space="preserve">Risk Score = Likelihood value × Impact value (see scale, cols K:L). Reflects status at the end of Week 8.</t>
  </si>
  <si>
    <t xml:space="preserve">ID</t>
  </si>
  <si>
    <t xml:space="preserve">Risk Description</t>
  </si>
  <si>
    <t xml:space="preserve">Category</t>
  </si>
  <si>
    <t xml:space="preserve">Likelihood</t>
  </si>
  <si>
    <t xml:space="preserve">Impact</t>
  </si>
  <si>
    <t xml:space="preserve">Risk Score</t>
  </si>
  <si>
    <t xml:space="preserve">Mitigation Strategy</t>
  </si>
  <si>
    <t xml:space="preserve">Owner</t>
  </si>
  <si>
    <t xml:space="preserve">Scale</t>
  </si>
  <si>
    <t xml:space="preserve">R1</t>
  </si>
  <si>
    <t xml:space="preserve">Data quality issues in the appointment dataset</t>
  </si>
  <si>
    <t xml:space="preserve">Data</t>
  </si>
  <si>
    <t xml:space="preserve">Low</t>
  </si>
  <si>
    <t xml:space="preserve">Validated at full Phase 3 scale; exclusion rule applied</t>
  </si>
  <si>
    <t xml:space="preserve">Closed — validated</t>
  </si>
  <si>
    <t xml:space="preserve">Level</t>
  </si>
  <si>
    <t xml:space="preserve">Value</t>
  </si>
  <si>
    <t xml:space="preserve">R2</t>
  </si>
  <si>
    <t xml:space="preserve">No-show prediction model accuracy falls below the 75% target</t>
  </si>
  <si>
    <t xml:space="preserve">Model</t>
  </si>
  <si>
    <t xml:space="preserve">Testing in progress at Week 7 checkpoint; final result due in Phase 5</t>
  </si>
  <si>
    <t xml:space="preserve">R3</t>
  </si>
  <si>
    <t xml:space="preserve">Low staff adoption of at-risk patient flags and reminder recommendations</t>
  </si>
  <si>
    <t xml:space="preserve">Adoption</t>
  </si>
  <si>
    <t xml:space="preserve">Staff involvement planned ahead of the Phase 6 pilot</t>
  </si>
  <si>
    <t xml:space="preserve">Open — not yet due</t>
  </si>
  <si>
    <t xml:space="preserve">R4</t>
  </si>
  <si>
    <t xml:space="preserve">Generative AI assistant produces out-of-scope or unsafe responses</t>
  </si>
  <si>
    <t xml:space="preserve">Safety / Compliance</t>
  </si>
  <si>
    <t xml:space="preserve">Retested under an expanded scenario set; confirmed stable</t>
  </si>
  <si>
    <t xml:space="preserve">R5</t>
  </si>
  <si>
    <t xml:space="preserve">Insufficient internal capacity at HealthConnect to sustain monitoring and retraining after handover</t>
  </si>
  <si>
    <t xml:space="preserve">Operational</t>
  </si>
  <si>
    <t xml:space="preserve">To be confirmed ahead of Phase 8</t>
  </si>
  <si>
    <t xml:space="preserve">R6</t>
  </si>
  <si>
    <t xml:space="preserve">Data privacy / POPIA compliance exposure given health-related patient data</t>
  </si>
  <si>
    <t xml:space="preserve">Compliance</t>
  </si>
  <si>
    <t xml:space="preserve">Compliance Officer sign-off required at each remaining phase gate</t>
  </si>
  <si>
    <t xml:space="preserve">Compliance Officer</t>
  </si>
  <si>
    <t xml:space="preserve">Monitoring</t>
  </si>
  <si>
    <t xml:space="preserve">R7</t>
  </si>
  <si>
    <t xml:space="preserve">Schedule pressure from the December office closure falling within the project timeline</t>
  </si>
  <si>
    <t xml:space="preserve">Schedule</t>
  </si>
  <si>
    <t xml:space="preserve">December fully excluded from the active schedule; still ahead in Phase 5</t>
  </si>
  <si>
    <t xml:space="preserve">R8</t>
  </si>
  <si>
    <t xml:space="preserve">Dependency on third-party LLM/API availability, rate limits, or cost for the assistant</t>
  </si>
  <si>
    <t xml:space="preserve">Technical / Vendor</t>
  </si>
  <si>
    <t xml:space="preserve">Fallback/offline model option identified</t>
  </si>
  <si>
    <t xml:space="preserve">IT Lead</t>
  </si>
  <si>
    <t xml:space="preserve">R9</t>
  </si>
  <si>
    <t xml:space="preserve">Scope creep beyond the agreed prototype/pilot boundary into full production rollout without sign-off</t>
  </si>
  <si>
    <t xml:space="preserve">Scope</t>
  </si>
  <si>
    <t xml:space="preserve">Scope Statement holding; no changes requested to date</t>
  </si>
  <si>
    <t xml:space="preserve">Open — monitoring</t>
  </si>
  <si>
    <t xml:space="preserve">R10</t>
  </si>
  <si>
    <t xml:space="preserve">Budget overrun beyond the approved contingency</t>
  </si>
  <si>
    <t xml:space="preserve">Financial</t>
  </si>
  <si>
    <t xml:space="preserve">No contingency draws to date</t>
  </si>
  <si>
    <t xml:space="preserve">R12</t>
  </si>
  <si>
    <t xml:space="preserve">IT Lead has a capacity conflict with commitments outside the project</t>
  </si>
  <si>
    <t xml:space="preserve">Escalated twice; formalised as DEP-013 for Sponsor decision</t>
  </si>
  <si>
    <t xml:space="preserve">Escalated — unresolved</t>
  </si>
  <si>
    <t xml:space="preserve">R14</t>
  </si>
  <si>
    <t xml:space="preserve">Data Science model interface not yet finalised</t>
  </si>
  <si>
    <t xml:space="preserve">Technical / Integration</t>
  </si>
  <si>
    <t xml:space="preserve">Being defined in Phase 5; not yet a blocker</t>
  </si>
  <si>
    <t xml:space="preserve">R17</t>
  </si>
  <si>
    <t xml:space="preserve">Foundational-stage work (this Experience Lab) could be mistaken for a completed, production-ready system</t>
  </si>
  <si>
    <t xml:space="preserve">Communication</t>
  </si>
  <si>
    <t xml:space="preserve">Final presentation explicitly states current phase, evidence, and remaining work — no overclaiming</t>
  </si>
  <si>
    <t xml:space="preserve">New — managed via presentation framing</t>
  </si>
  <si>
    <t xml:space="preserve">HealthConnect Project — Final Decision Log</t>
  </si>
  <si>
    <t xml:space="preserve">All major decisions across the Experience Lab, consolidated</t>
  </si>
  <si>
    <t xml:space="preserve">Decision</t>
  </si>
  <si>
    <t xml:space="preserve">Rationale</t>
  </si>
  <si>
    <t xml:space="preserve">Made By</t>
  </si>
  <si>
    <t xml:space="preserve">Date</t>
  </si>
  <si>
    <t xml:space="preserve">DEC-01</t>
  </si>
  <si>
    <t xml:space="preserve">Adopt the ~24-week CPM-derived schedule as the formal project baseline</t>
  </si>
  <si>
    <t xml:space="preserve">Compression to 20 weeks would consume float from the least-buffered phase</t>
  </si>
  <si>
    <t xml:space="preserve">Sponsor (on PM recommendation)</t>
  </si>
  <si>
    <t xml:space="preserve">Planning phase gate closed; Phase 3 formally started</t>
  </si>
  <si>
    <t xml:space="preserve">DEC-02</t>
  </si>
  <si>
    <t xml:space="preserve">Adopt a fallback patient-identifier linking key</t>
  </si>
  <si>
    <t xml:space="preserve">No clean shared identifier exists across systems</t>
  </si>
  <si>
    <t xml:space="preserve">Project Manager, with Data Analytics</t>
  </si>
  <si>
    <t xml:space="preserve">Removed ambiguity blocking Phase 3 work</t>
  </si>
  <si>
    <t xml:space="preserve">DEC-04</t>
  </si>
  <si>
    <t xml:space="preserve">Accept Generative AI's Week 6 safety evidence to close the Knowledge Base scope dependency</t>
  </si>
  <si>
    <t xml:space="preserve">Evidence met the Quality Management Plan's criteria</t>
  </si>
  <si>
    <t xml:space="preserve">Assistant design work could proceed without an open governance item</t>
  </si>
  <si>
    <t xml:space="preserve">DEC-05</t>
  </si>
  <si>
    <t xml:space="preserve">Apply a documented exclusion rule for the identifier's residual matching gap</t>
  </si>
  <si>
    <t xml:space="preserve">Full-scale testing found a narrow gap the Week 6 sample missed</t>
  </si>
  <si>
    <t xml:space="preserve">DEP-002 upgraded to Validated</t>
  </si>
  <si>
    <t xml:space="preserve">DEC-06</t>
  </si>
  <si>
    <t xml:space="preserve">Accept Generative AI's Week 7 retest as confirming the assistant's safety downgrade</t>
  </si>
  <si>
    <t xml:space="preserve">Expanded, harder testing found and fixed only one minor issue</t>
  </si>
  <si>
    <t xml:space="preserve">DEP-004 upgraded to Validated</t>
  </si>
  <si>
    <t xml:space="preserve">DEC-08</t>
  </si>
  <si>
    <t xml:space="preserve">Formalise the unresolved IT Lead capacity conflict as a named Sponsor decision (DEP-013) ahead of the final presentation</t>
  </si>
  <si>
    <t xml:space="preserve">Two escalations without resolution; presentation must not imply deployment resourcing is settled</t>
  </si>
  <si>
    <t xml:space="preserve">Ensures the final presentation accurately reflects an open risk rather than a resolved one</t>
  </si>
  <si>
    <t xml:space="preserve">DEC-09</t>
  </si>
  <si>
    <t xml:space="preserve">Present Week 8 output as a foundational-stage proof of concept, not a completed system</t>
  </si>
  <si>
    <t xml:space="preserve">Only Phases 1–4 of 8 are complete; overclaiming would misrepresent actual progress</t>
  </si>
  <si>
    <t xml:space="preserve">Final presentation and all Week 8 documentation frame current status honestly</t>
  </si>
  <si>
    <t xml:space="preserve">HealthConnect Project — Final Integration Record</t>
  </si>
  <si>
    <t xml:space="preserve">Consolidated record of every meaningful cross-track integration across the Experience Lab</t>
  </si>
  <si>
    <t xml:space="preserve">Week</t>
  </si>
  <si>
    <t xml:space="preserve">Track</t>
  </si>
  <si>
    <t xml:space="preserve">Dependency</t>
  </si>
  <si>
    <t xml:space="preserve">Activity</t>
  </si>
  <si>
    <t xml:space="preserve">Outcome</t>
  </si>
  <si>
    <t xml:space="preserve">Week 6</t>
  </si>
  <si>
    <t xml:space="preserve">DEP-002 / R1</t>
  </si>
  <si>
    <t xml:space="preserve">Validated data-quality findings; adopted fallback identifier</t>
  </si>
  <si>
    <t xml:space="preserve">R1 downgraded, DEP-002 mitigated</t>
  </si>
  <si>
    <t xml:space="preserve">Week 6 Risk/Dependency Register, Decision Log DEC-02</t>
  </si>
  <si>
    <t xml:space="preserve">Closed</t>
  </si>
  <si>
    <t xml:space="preserve">DEP-004 / R4</t>
  </si>
  <si>
    <t xml:space="preserve">Reviewed and accepted Week 6 safety/scope evidence</t>
  </si>
  <si>
    <t xml:space="preserve">DEP-004 closed, R4 downgraded</t>
  </si>
  <si>
    <t xml:space="preserve">Week 6 Risk/Dependency Register, Decision Log DEC-04</t>
  </si>
  <si>
    <t xml:space="preserve">Week 7</t>
  </si>
  <si>
    <t xml:space="preserve">Retested fallback identifier at full Phase 3 scale</t>
  </si>
  <si>
    <t xml:space="preserve">DEP-002 upgraded to Validated; residual gap resolved</t>
  </si>
  <si>
    <t xml:space="preserve">Week 7 Testing &amp; Validation Record TR-01, Decision Log DEC-05</t>
  </si>
  <si>
    <t xml:space="preserve">Retested assistant against expanded scenario set</t>
  </si>
  <si>
    <t xml:space="preserve">DEP-004 upgraded to Validated; consistency issue resolved</t>
  </si>
  <si>
    <t xml:space="preserve">Week 7 Testing &amp; Validation Record TR-02, Decision Log DEC-06</t>
  </si>
  <si>
    <t xml:space="preserve">Week 8</t>
  </si>
  <si>
    <t xml:space="preserve">Final assistant capabilities &amp; limitations</t>
  </si>
  <si>
    <t xml:space="preserve">Incorporated final assistant demo scope into the final presentation structure</t>
  </si>
  <si>
    <t xml:space="preserve">Final presentation coordination plan reflects confirmed assistant capabilities</t>
  </si>
  <si>
    <t xml:space="preserve">Final Integration Readiness Report, Part 3</t>
  </si>
  <si>
    <t xml:space="preserve">Final validated insights</t>
  </si>
  <si>
    <t xml:space="preserve">Incorporated final business insights into the final status report and presentation narrative</t>
  </si>
  <si>
    <t xml:space="preserve">Final project status report references Data Analytics' validated findings</t>
  </si>
  <si>
    <t xml:space="preserve">HealthConnect Project — Readiness Assessment</t>
  </si>
  <si>
    <t xml:space="preserve">Readiness for the final presentation/showcase of Weeks 4–8, and for the project's continued execution beyond it</t>
  </si>
  <si>
    <t xml:space="preserve">Area</t>
  </si>
  <si>
    <t xml:space="preserve">Readiness</t>
  </si>
  <si>
    <t xml:space="preserve">Basis</t>
  </si>
  <si>
    <t xml:space="preserve">Outstanding Before Presentation / Next Stage</t>
  </si>
  <si>
    <t xml:space="preserve">Documentation (Charter through Week 7)</t>
  </si>
  <si>
    <t xml:space="preserve">Ready</t>
  </si>
  <si>
    <t xml:space="preserve">Full Initiating/Planning/Executing documentation set complete and internally consistent</t>
  </si>
  <si>
    <t xml:space="preserve">None</t>
  </si>
  <si>
    <t xml:space="preserve">Data quality / patient identifier</t>
  </si>
  <si>
    <t xml:space="preserve">Validated at full scale (Week 7); closed</t>
  </si>
  <si>
    <t xml:space="preserve">Generative AI assistant safety scope</t>
  </si>
  <si>
    <t xml:space="preserve">Retested under harder conditions (Week 7); closed</t>
  </si>
  <si>
    <t xml:space="preserve">No-show prediction model</t>
  </si>
  <si>
    <t xml:space="preserve">Not yet ready</t>
  </si>
  <si>
    <t xml:space="preserve">Testing in progress at Week 7 checkpoint; not yet finalised</t>
  </si>
  <si>
    <t xml:space="preserve">Complete model testing and selection in Phase 5</t>
  </si>
  <si>
    <t xml:space="preserve">ML pipeline integration</t>
  </si>
  <si>
    <t xml:space="preserve">Initial integration only; full build not started</t>
  </si>
  <si>
    <t xml:space="preserve">Complete in Phase 5, dependent on model finalisation</t>
  </si>
  <si>
    <t xml:space="preserve">IT Lead resourcing / deployment support</t>
  </si>
  <si>
    <t xml:space="preserve">At risk</t>
  </si>
  <si>
    <t xml:space="preserve">Escalated twice without resolution (DEP-013)</t>
  </si>
  <si>
    <t xml:space="preserve">Sponsor decision required before Phase 7 planning</t>
  </si>
  <si>
    <t xml:space="preserve">Overall schedule baseline</t>
  </si>
  <si>
    <t xml:space="preserve">On track</t>
  </si>
  <si>
    <t xml:space="preserve">No unplanned date changes since the Week 5 baseline correction</t>
  </si>
  <si>
    <t xml:space="preserve">Presentation readiness</t>
  </si>
  <si>
    <t xml:space="preserve">Final presentation structure and coordination plan complete (this package)</t>
  </si>
  <si>
    <t xml:space="preserve">Confirm individual video submissions from all tracks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</si>
</sst>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i val="true"/>
      <sz val="10"/>
      <color rgb="FFBF8F00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CCFFFF"/>
      </patternFill>
    </fill>
    <fill>
      <patternFill patternType="solid">
        <fgColor rgb="FFF2F2F2"/>
        <bgColor rgb="FFFFFFFF"/>
      </patternFill>
    </fill>
    <fill>
      <patternFill patternType="solid">
        <fgColor rgb="FFFFEB9C"/>
        <bgColor rgb="FFFFF2CC"/>
      </patternFill>
    </fill>
    <fill>
      <patternFill patternType="solid">
        <fgColor rgb="FFFFF2CC"/>
        <bgColor rgb="FFF2F2F2"/>
      </patternFill>
    </fill>
    <fill>
      <patternFill patternType="solid">
        <fgColor rgb="FFFFC7CE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BF8F0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D9EEBE"/>
          <bgColor rgb="FF000000"/>
        </patternFill>
      </fill>
    </dxf>
    <dxf>
      <fill>
        <patternFill patternType="solid">
          <fgColor rgb="FFECEDA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BF8F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5" min="4" style="0" width="40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35.05" hidden="false" customHeight="false" outlineLevel="0" collapsed="false">
      <c r="A5" s="4" t="s">
        <v>7</v>
      </c>
      <c r="B5" s="4" t="s">
        <v>8</v>
      </c>
      <c r="C5" s="5" t="s">
        <v>9</v>
      </c>
      <c r="D5" s="4" t="s">
        <v>10</v>
      </c>
      <c r="E5" s="4" t="s">
        <v>11</v>
      </c>
    </row>
    <row r="6" customFormat="false" ht="23.85" hidden="false" customHeight="false" outlineLevel="0" collapsed="false">
      <c r="A6" s="6" t="s">
        <v>12</v>
      </c>
      <c r="B6" s="6" t="s">
        <v>13</v>
      </c>
      <c r="C6" s="5" t="s">
        <v>9</v>
      </c>
      <c r="D6" s="6" t="s">
        <v>14</v>
      </c>
      <c r="E6" s="6" t="s">
        <v>15</v>
      </c>
    </row>
    <row r="7" customFormat="false" ht="23.85" hidden="false" customHeight="false" outlineLevel="0" collapsed="false">
      <c r="A7" s="4" t="s">
        <v>16</v>
      </c>
      <c r="B7" s="4" t="s">
        <v>17</v>
      </c>
      <c r="C7" s="7" t="s">
        <v>18</v>
      </c>
      <c r="D7" s="4" t="s">
        <v>19</v>
      </c>
      <c r="E7" s="4" t="s">
        <v>20</v>
      </c>
    </row>
    <row r="8" customFormat="false" ht="23.85" hidden="false" customHeight="false" outlineLevel="0" collapsed="false">
      <c r="A8" s="6" t="s">
        <v>21</v>
      </c>
      <c r="B8" s="6" t="s">
        <v>22</v>
      </c>
      <c r="C8" s="7" t="s">
        <v>18</v>
      </c>
      <c r="D8" s="6" t="s">
        <v>23</v>
      </c>
      <c r="E8" s="6" t="s">
        <v>24</v>
      </c>
    </row>
    <row r="9" customFormat="false" ht="23.85" hidden="false" customHeight="false" outlineLevel="0" collapsed="false">
      <c r="A9" s="4" t="s">
        <v>25</v>
      </c>
      <c r="B9" s="4" t="s">
        <v>26</v>
      </c>
      <c r="C9" s="5" t="s">
        <v>9</v>
      </c>
      <c r="D9" s="4" t="s">
        <v>27</v>
      </c>
      <c r="E9" s="4" t="s">
        <v>28</v>
      </c>
    </row>
  </sheetData>
  <autoFilter ref="A4:E9"/>
  <mergeCells count="2">
    <mergeCell ref="A1:E1"/>
    <mergeCell ref="A2:E2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6"/>
    <col collapsed="false" customWidth="true" hidden="false" outlineLevel="0" max="3" min="3" style="0" width="34"/>
    <col collapsed="false" customWidth="true" hidden="false" outlineLevel="0" max="5" min="4" style="0" width="12"/>
    <col collapsed="false" customWidth="true" hidden="false" outlineLevel="0" max="6" min="6" style="0" width="22"/>
    <col collapsed="false" customWidth="true" hidden="false" outlineLevel="0" max="7" min="7" style="0" width="16"/>
  </cols>
  <sheetData>
    <row r="1" customFormat="false" ht="21.75" hidden="false" customHeight="true" outlineLevel="0" collapsed="false">
      <c r="A1" s="1" t="s">
        <v>29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30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31</v>
      </c>
      <c r="B4" s="3" t="s">
        <v>32</v>
      </c>
      <c r="C4" s="3" t="s">
        <v>33</v>
      </c>
      <c r="D4" s="3" t="s">
        <v>34</v>
      </c>
      <c r="E4" s="3" t="s">
        <v>35</v>
      </c>
      <c r="F4" s="3" t="s">
        <v>4</v>
      </c>
      <c r="G4" s="3" t="s">
        <v>36</v>
      </c>
    </row>
    <row r="5" customFormat="false" ht="15" hidden="false" customHeight="true" outlineLevel="0" collapsed="false">
      <c r="A5" s="3" t="s">
        <v>37</v>
      </c>
      <c r="B5" s="6" t="s">
        <v>38</v>
      </c>
      <c r="C5" s="6"/>
      <c r="D5" s="6" t="s">
        <v>39</v>
      </c>
      <c r="E5" s="6" t="s">
        <v>40</v>
      </c>
      <c r="F5" s="5" t="s">
        <v>41</v>
      </c>
      <c r="G5" s="6" t="s">
        <v>42</v>
      </c>
    </row>
    <row r="6" customFormat="false" ht="15" hidden="false" customHeight="false" outlineLevel="0" collapsed="false">
      <c r="A6" s="3"/>
      <c r="B6" s="6" t="s">
        <v>43</v>
      </c>
      <c r="C6" s="6"/>
      <c r="D6" s="6" t="s">
        <v>39</v>
      </c>
      <c r="E6" s="6" t="s">
        <v>40</v>
      </c>
      <c r="F6" s="5" t="s">
        <v>41</v>
      </c>
      <c r="G6" s="6" t="s">
        <v>42</v>
      </c>
    </row>
    <row r="7" customFormat="false" ht="23.85" hidden="false" customHeight="false" outlineLevel="0" collapsed="false">
      <c r="A7" s="3"/>
      <c r="B7" s="6" t="s">
        <v>44</v>
      </c>
      <c r="C7" s="6"/>
      <c r="D7" s="6" t="s">
        <v>45</v>
      </c>
      <c r="E7" s="6" t="s">
        <v>46</v>
      </c>
      <c r="F7" s="5" t="s">
        <v>41</v>
      </c>
      <c r="G7" s="6" t="s">
        <v>47</v>
      </c>
    </row>
    <row r="8" customFormat="false" ht="15" hidden="false" customHeight="false" outlineLevel="0" collapsed="false">
      <c r="A8" s="3"/>
      <c r="B8" s="6" t="s">
        <v>48</v>
      </c>
      <c r="C8" s="6"/>
      <c r="D8" s="6" t="s">
        <v>49</v>
      </c>
      <c r="E8" s="6" t="s">
        <v>50</v>
      </c>
      <c r="F8" s="5" t="s">
        <v>41</v>
      </c>
      <c r="G8" s="6" t="s">
        <v>51</v>
      </c>
    </row>
    <row r="9" customFormat="false" ht="15" hidden="false" customHeight="false" outlineLevel="0" collapsed="false">
      <c r="A9" s="3"/>
      <c r="B9" s="6" t="s">
        <v>52</v>
      </c>
      <c r="C9" s="6"/>
      <c r="D9" s="6" t="s">
        <v>49</v>
      </c>
      <c r="E9" s="6" t="s">
        <v>50</v>
      </c>
      <c r="F9" s="5" t="s">
        <v>41</v>
      </c>
      <c r="G9" s="6" t="s">
        <v>51</v>
      </c>
    </row>
    <row r="10" customFormat="false" ht="15" hidden="false" customHeight="false" outlineLevel="0" collapsed="false">
      <c r="A10" s="3"/>
      <c r="B10" s="8" t="s">
        <v>33</v>
      </c>
      <c r="C10" s="8" t="s">
        <v>53</v>
      </c>
      <c r="D10" s="8" t="s">
        <v>50</v>
      </c>
      <c r="E10" s="8" t="s">
        <v>50</v>
      </c>
      <c r="F10" s="8" t="s">
        <v>54</v>
      </c>
      <c r="G10" s="8"/>
    </row>
    <row r="11" customFormat="false" ht="15" hidden="false" customHeight="true" outlineLevel="0" collapsed="false">
      <c r="A11" s="3" t="s">
        <v>55</v>
      </c>
      <c r="B11" s="4" t="s">
        <v>56</v>
      </c>
      <c r="C11" s="4"/>
      <c r="D11" s="4" t="s">
        <v>57</v>
      </c>
      <c r="E11" s="4" t="s">
        <v>58</v>
      </c>
      <c r="F11" s="5" t="s">
        <v>41</v>
      </c>
      <c r="G11" s="4" t="s">
        <v>59</v>
      </c>
    </row>
    <row r="12" customFormat="false" ht="23.85" hidden="false" customHeight="false" outlineLevel="0" collapsed="false">
      <c r="A12" s="3"/>
      <c r="B12" s="4" t="s">
        <v>60</v>
      </c>
      <c r="C12" s="4"/>
      <c r="D12" s="4" t="s">
        <v>61</v>
      </c>
      <c r="E12" s="4" t="s">
        <v>62</v>
      </c>
      <c r="F12" s="5" t="s">
        <v>41</v>
      </c>
      <c r="G12" s="4" t="s">
        <v>63</v>
      </c>
    </row>
    <row r="13" customFormat="false" ht="15" hidden="false" customHeight="false" outlineLevel="0" collapsed="false">
      <c r="A13" s="3"/>
      <c r="B13" s="4" t="s">
        <v>64</v>
      </c>
      <c r="C13" s="4"/>
      <c r="D13" s="4" t="s">
        <v>65</v>
      </c>
      <c r="E13" s="4" t="s">
        <v>66</v>
      </c>
      <c r="F13" s="5" t="s">
        <v>41</v>
      </c>
      <c r="G13" s="4" t="s">
        <v>67</v>
      </c>
    </row>
    <row r="14" customFormat="false" ht="15" hidden="false" customHeight="false" outlineLevel="0" collapsed="false">
      <c r="A14" s="3"/>
      <c r="B14" s="4" t="s">
        <v>68</v>
      </c>
      <c r="C14" s="4"/>
      <c r="D14" s="4" t="s">
        <v>69</v>
      </c>
      <c r="E14" s="4" t="s">
        <v>70</v>
      </c>
      <c r="F14" s="5" t="s">
        <v>41</v>
      </c>
      <c r="G14" s="4" t="s">
        <v>71</v>
      </c>
    </row>
    <row r="15" customFormat="false" ht="15" hidden="false" customHeight="false" outlineLevel="0" collapsed="false">
      <c r="A15" s="3"/>
      <c r="B15" s="4" t="s">
        <v>72</v>
      </c>
      <c r="C15" s="4"/>
      <c r="D15" s="4" t="s">
        <v>57</v>
      </c>
      <c r="E15" s="4" t="s">
        <v>58</v>
      </c>
      <c r="F15" s="5" t="s">
        <v>41</v>
      </c>
      <c r="G15" s="4" t="s">
        <v>59</v>
      </c>
    </row>
    <row r="16" customFormat="false" ht="15" hidden="false" customHeight="false" outlineLevel="0" collapsed="false">
      <c r="A16" s="3"/>
      <c r="B16" s="4" t="s">
        <v>73</v>
      </c>
      <c r="C16" s="4"/>
      <c r="D16" s="4" t="s">
        <v>57</v>
      </c>
      <c r="E16" s="4" t="s">
        <v>74</v>
      </c>
      <c r="F16" s="5" t="s">
        <v>41</v>
      </c>
      <c r="G16" s="4" t="s">
        <v>75</v>
      </c>
    </row>
    <row r="17" customFormat="false" ht="15" hidden="false" customHeight="false" outlineLevel="0" collapsed="false">
      <c r="A17" s="3"/>
      <c r="B17" s="4" t="s">
        <v>76</v>
      </c>
      <c r="C17" s="4"/>
      <c r="D17" s="4" t="s">
        <v>49</v>
      </c>
      <c r="E17" s="4" t="s">
        <v>50</v>
      </c>
      <c r="F17" s="5" t="s">
        <v>41</v>
      </c>
      <c r="G17" s="4" t="s">
        <v>51</v>
      </c>
    </row>
    <row r="18" customFormat="false" ht="15" hidden="false" customHeight="false" outlineLevel="0" collapsed="false">
      <c r="A18" s="3"/>
      <c r="B18" s="4" t="s">
        <v>77</v>
      </c>
      <c r="C18" s="4"/>
      <c r="D18" s="4" t="s">
        <v>65</v>
      </c>
      <c r="E18" s="4" t="s">
        <v>69</v>
      </c>
      <c r="F18" s="5" t="s">
        <v>41</v>
      </c>
      <c r="G18" s="4" t="s">
        <v>67</v>
      </c>
    </row>
    <row r="19" customFormat="false" ht="23.85" hidden="false" customHeight="false" outlineLevel="0" collapsed="false">
      <c r="A19" s="3"/>
      <c r="B19" s="4" t="s">
        <v>78</v>
      </c>
      <c r="C19" s="4"/>
      <c r="D19" s="4" t="s">
        <v>79</v>
      </c>
      <c r="E19" s="4" t="s">
        <v>80</v>
      </c>
      <c r="F19" s="5" t="s">
        <v>41</v>
      </c>
      <c r="G19" s="4" t="s">
        <v>81</v>
      </c>
    </row>
    <row r="20" customFormat="false" ht="23.85" hidden="false" customHeight="false" outlineLevel="0" collapsed="false">
      <c r="A20" s="3"/>
      <c r="B20" s="4" t="s">
        <v>82</v>
      </c>
      <c r="C20" s="4"/>
      <c r="D20" s="4" t="s">
        <v>83</v>
      </c>
      <c r="E20" s="4" t="s">
        <v>83</v>
      </c>
      <c r="F20" s="5" t="s">
        <v>41</v>
      </c>
      <c r="G20" s="4" t="s">
        <v>84</v>
      </c>
    </row>
    <row r="21" customFormat="false" ht="23.85" hidden="false" customHeight="false" outlineLevel="0" collapsed="false">
      <c r="A21" s="3"/>
      <c r="B21" s="8" t="s">
        <v>33</v>
      </c>
      <c r="C21" s="8" t="s">
        <v>85</v>
      </c>
      <c r="D21" s="8" t="s">
        <v>83</v>
      </c>
      <c r="E21" s="8" t="s">
        <v>83</v>
      </c>
      <c r="F21" s="8" t="s">
        <v>54</v>
      </c>
      <c r="G21" s="8"/>
    </row>
    <row r="22" customFormat="false" ht="15" hidden="false" customHeight="true" outlineLevel="0" collapsed="false">
      <c r="A22" s="3" t="s">
        <v>86</v>
      </c>
      <c r="B22" s="6" t="s">
        <v>87</v>
      </c>
      <c r="C22" s="6"/>
      <c r="D22" s="6" t="s">
        <v>88</v>
      </c>
      <c r="E22" s="6" t="s">
        <v>89</v>
      </c>
      <c r="F22" s="5" t="s">
        <v>41</v>
      </c>
      <c r="G22" s="6" t="s">
        <v>90</v>
      </c>
    </row>
    <row r="23" customFormat="false" ht="15" hidden="false" customHeight="false" outlineLevel="0" collapsed="false">
      <c r="A23" s="3"/>
      <c r="B23" s="6" t="s">
        <v>91</v>
      </c>
      <c r="C23" s="6"/>
      <c r="D23" s="6" t="s">
        <v>88</v>
      </c>
      <c r="E23" s="6" t="s">
        <v>89</v>
      </c>
      <c r="F23" s="5" t="s">
        <v>41</v>
      </c>
      <c r="G23" s="6" t="s">
        <v>90</v>
      </c>
    </row>
    <row r="24" customFormat="false" ht="15" hidden="false" customHeight="false" outlineLevel="0" collapsed="false">
      <c r="A24" s="3"/>
      <c r="B24" s="6" t="s">
        <v>92</v>
      </c>
      <c r="C24" s="6"/>
      <c r="D24" s="6" t="s">
        <v>88</v>
      </c>
      <c r="E24" s="6" t="s">
        <v>89</v>
      </c>
      <c r="F24" s="5" t="s">
        <v>41</v>
      </c>
      <c r="G24" s="6" t="s">
        <v>90</v>
      </c>
    </row>
    <row r="25" customFormat="false" ht="15" hidden="false" customHeight="false" outlineLevel="0" collapsed="false">
      <c r="A25" s="3"/>
      <c r="B25" s="6" t="s">
        <v>93</v>
      </c>
      <c r="C25" s="6"/>
      <c r="D25" s="6" t="s">
        <v>94</v>
      </c>
      <c r="E25" s="6" t="s">
        <v>95</v>
      </c>
      <c r="F25" s="5" t="s">
        <v>41</v>
      </c>
      <c r="G25" s="6" t="s">
        <v>96</v>
      </c>
    </row>
    <row r="26" customFormat="false" ht="23.85" hidden="false" customHeight="false" outlineLevel="0" collapsed="false">
      <c r="A26" s="3"/>
      <c r="B26" s="8" t="s">
        <v>33</v>
      </c>
      <c r="C26" s="8" t="s">
        <v>97</v>
      </c>
      <c r="D26" s="8" t="s">
        <v>95</v>
      </c>
      <c r="E26" s="8" t="s">
        <v>95</v>
      </c>
      <c r="F26" s="8" t="s">
        <v>98</v>
      </c>
      <c r="G26" s="8"/>
    </row>
    <row r="27" customFormat="false" ht="15" hidden="false" customHeight="true" outlineLevel="0" collapsed="false">
      <c r="A27" s="3" t="s">
        <v>99</v>
      </c>
      <c r="B27" s="4" t="s">
        <v>100</v>
      </c>
      <c r="C27" s="4"/>
      <c r="D27" s="4" t="s">
        <v>101</v>
      </c>
      <c r="E27" s="4" t="s">
        <v>102</v>
      </c>
      <c r="F27" s="5" t="s">
        <v>41</v>
      </c>
      <c r="G27" s="4" t="s">
        <v>103</v>
      </c>
    </row>
    <row r="28" customFormat="false" ht="15" hidden="false" customHeight="false" outlineLevel="0" collapsed="false">
      <c r="A28" s="3"/>
      <c r="B28" s="4" t="s">
        <v>104</v>
      </c>
      <c r="C28" s="4"/>
      <c r="D28" s="4" t="s">
        <v>101</v>
      </c>
      <c r="E28" s="4" t="s">
        <v>102</v>
      </c>
      <c r="F28" s="5" t="s">
        <v>41</v>
      </c>
      <c r="G28" s="4" t="s">
        <v>103</v>
      </c>
    </row>
    <row r="29" customFormat="false" ht="15" hidden="false" customHeight="false" outlineLevel="0" collapsed="false">
      <c r="A29" s="3"/>
      <c r="B29" s="4" t="s">
        <v>105</v>
      </c>
      <c r="C29" s="4"/>
      <c r="D29" s="4" t="s">
        <v>106</v>
      </c>
      <c r="E29" s="4" t="s">
        <v>107</v>
      </c>
      <c r="F29" s="5" t="s">
        <v>41</v>
      </c>
      <c r="G29" s="4" t="s">
        <v>108</v>
      </c>
    </row>
    <row r="30" customFormat="false" ht="15" hidden="false" customHeight="false" outlineLevel="0" collapsed="false">
      <c r="A30" s="3"/>
      <c r="B30" s="4" t="s">
        <v>109</v>
      </c>
      <c r="C30" s="4"/>
      <c r="D30" s="4" t="s">
        <v>106</v>
      </c>
      <c r="E30" s="4" t="s">
        <v>107</v>
      </c>
      <c r="F30" s="5" t="s">
        <v>41</v>
      </c>
      <c r="G30" s="4" t="s">
        <v>108</v>
      </c>
    </row>
    <row r="31" customFormat="false" ht="15" hidden="false" customHeight="false" outlineLevel="0" collapsed="false">
      <c r="A31" s="3"/>
      <c r="B31" s="4" t="s">
        <v>110</v>
      </c>
      <c r="C31" s="4"/>
      <c r="D31" s="4" t="s">
        <v>106</v>
      </c>
      <c r="E31" s="4" t="s">
        <v>107</v>
      </c>
      <c r="F31" s="5" t="s">
        <v>41</v>
      </c>
      <c r="G31" s="4" t="s">
        <v>108</v>
      </c>
    </row>
    <row r="32" customFormat="false" ht="15" hidden="false" customHeight="false" outlineLevel="0" collapsed="false">
      <c r="A32" s="3"/>
      <c r="B32" s="4" t="s">
        <v>111</v>
      </c>
      <c r="C32" s="4"/>
      <c r="D32" s="4" t="s">
        <v>112</v>
      </c>
      <c r="E32" s="4" t="s">
        <v>112</v>
      </c>
      <c r="F32" s="5" t="s">
        <v>41</v>
      </c>
      <c r="G32" s="4" t="s">
        <v>113</v>
      </c>
    </row>
    <row r="33" customFormat="false" ht="23.85" hidden="false" customHeight="false" outlineLevel="0" collapsed="false">
      <c r="A33" s="3"/>
      <c r="B33" s="8" t="s">
        <v>33</v>
      </c>
      <c r="C33" s="8" t="s">
        <v>114</v>
      </c>
      <c r="D33" s="8" t="s">
        <v>112</v>
      </c>
      <c r="E33" s="8" t="s">
        <v>112</v>
      </c>
      <c r="F33" s="8" t="s">
        <v>115</v>
      </c>
      <c r="G33" s="8"/>
    </row>
    <row r="34" customFormat="false" ht="23.85" hidden="false" customHeight="true" outlineLevel="0" collapsed="false">
      <c r="A34" s="3" t="s">
        <v>116</v>
      </c>
      <c r="B34" s="6" t="s">
        <v>117</v>
      </c>
      <c r="C34" s="6"/>
      <c r="D34" s="6" t="s">
        <v>118</v>
      </c>
      <c r="E34" s="6" t="s">
        <v>119</v>
      </c>
      <c r="F34" s="7" t="s">
        <v>120</v>
      </c>
      <c r="G34" s="6" t="s">
        <v>121</v>
      </c>
    </row>
    <row r="35" customFormat="false" ht="15" hidden="false" customHeight="false" outlineLevel="0" collapsed="false">
      <c r="A35" s="3"/>
      <c r="B35" s="6" t="s">
        <v>122</v>
      </c>
      <c r="C35" s="6"/>
      <c r="D35" s="6" t="s">
        <v>118</v>
      </c>
      <c r="E35" s="6" t="s">
        <v>123</v>
      </c>
      <c r="F35" s="7" t="s">
        <v>120</v>
      </c>
      <c r="G35" s="6" t="s">
        <v>121</v>
      </c>
    </row>
    <row r="36" customFormat="false" ht="15" hidden="false" customHeight="false" outlineLevel="0" collapsed="false">
      <c r="A36" s="3"/>
      <c r="B36" s="6" t="s">
        <v>124</v>
      </c>
      <c r="C36" s="6"/>
      <c r="D36" s="6" t="s">
        <v>125</v>
      </c>
      <c r="E36" s="6" t="s">
        <v>119</v>
      </c>
      <c r="F36" s="4" t="s">
        <v>126</v>
      </c>
      <c r="G36" s="6" t="s">
        <v>127</v>
      </c>
    </row>
    <row r="37" customFormat="false" ht="15" hidden="false" customHeight="false" outlineLevel="0" collapsed="false">
      <c r="A37" s="3"/>
      <c r="B37" s="6" t="s">
        <v>128</v>
      </c>
      <c r="C37" s="6"/>
      <c r="D37" s="6" t="s">
        <v>118</v>
      </c>
      <c r="E37" s="6" t="s">
        <v>129</v>
      </c>
      <c r="F37" s="4" t="s">
        <v>126</v>
      </c>
      <c r="G37" s="6" t="s">
        <v>121</v>
      </c>
    </row>
    <row r="38" customFormat="false" ht="15" hidden="false" customHeight="false" outlineLevel="0" collapsed="false">
      <c r="A38" s="3"/>
      <c r="B38" s="6" t="s">
        <v>130</v>
      </c>
      <c r="C38" s="6"/>
      <c r="D38" s="6" t="s">
        <v>125</v>
      </c>
      <c r="E38" s="6" t="s">
        <v>131</v>
      </c>
      <c r="F38" s="4" t="s">
        <v>126</v>
      </c>
      <c r="G38" s="6" t="s">
        <v>127</v>
      </c>
    </row>
    <row r="39" customFormat="false" ht="15" hidden="false" customHeight="false" outlineLevel="0" collapsed="false">
      <c r="A39" s="3"/>
      <c r="B39" s="6" t="s">
        <v>132</v>
      </c>
      <c r="C39" s="6"/>
      <c r="D39" s="6" t="s">
        <v>133</v>
      </c>
      <c r="E39" s="6" t="s">
        <v>133</v>
      </c>
      <c r="F39" s="4" t="s">
        <v>126</v>
      </c>
      <c r="G39" s="6" t="s">
        <v>134</v>
      </c>
    </row>
    <row r="40" customFormat="false" ht="23.85" hidden="false" customHeight="false" outlineLevel="0" collapsed="false">
      <c r="A40" s="3"/>
      <c r="B40" s="8" t="s">
        <v>33</v>
      </c>
      <c r="C40" s="8" t="s">
        <v>135</v>
      </c>
      <c r="D40" s="8" t="s">
        <v>133</v>
      </c>
      <c r="E40" s="8" t="s">
        <v>133</v>
      </c>
      <c r="F40" s="8" t="s">
        <v>136</v>
      </c>
      <c r="G40" s="8"/>
    </row>
    <row r="41" customFormat="false" ht="15" hidden="false" customHeight="true" outlineLevel="0" collapsed="false">
      <c r="A41" s="3" t="s">
        <v>137</v>
      </c>
      <c r="B41" s="4" t="s">
        <v>138</v>
      </c>
      <c r="C41" s="4"/>
      <c r="D41" s="4" t="s">
        <v>139</v>
      </c>
      <c r="E41" s="4" t="s">
        <v>140</v>
      </c>
      <c r="F41" s="4" t="s">
        <v>126</v>
      </c>
      <c r="G41" s="4" t="s">
        <v>141</v>
      </c>
    </row>
    <row r="42" customFormat="false" ht="23.85" hidden="false" customHeight="false" outlineLevel="0" collapsed="false">
      <c r="A42" s="3"/>
      <c r="B42" s="4" t="s">
        <v>142</v>
      </c>
      <c r="C42" s="4"/>
      <c r="D42" s="4" t="s">
        <v>143</v>
      </c>
      <c r="E42" s="4" t="s">
        <v>144</v>
      </c>
      <c r="F42" s="4" t="s">
        <v>126</v>
      </c>
      <c r="G42" s="4" t="s">
        <v>145</v>
      </c>
    </row>
    <row r="43" customFormat="false" ht="15" hidden="false" customHeight="false" outlineLevel="0" collapsed="false">
      <c r="A43" s="3"/>
      <c r="B43" s="4" t="s">
        <v>146</v>
      </c>
      <c r="C43" s="4"/>
      <c r="D43" s="4" t="s">
        <v>147</v>
      </c>
      <c r="E43" s="4" t="s">
        <v>148</v>
      </c>
      <c r="F43" s="4" t="s">
        <v>126</v>
      </c>
      <c r="G43" s="4" t="s">
        <v>149</v>
      </c>
    </row>
    <row r="44" customFormat="false" ht="15" hidden="false" customHeight="false" outlineLevel="0" collapsed="false">
      <c r="A44" s="3"/>
      <c r="B44" s="4" t="s">
        <v>150</v>
      </c>
      <c r="C44" s="4"/>
      <c r="D44" s="4" t="s">
        <v>151</v>
      </c>
      <c r="E44" s="4" t="s">
        <v>151</v>
      </c>
      <c r="F44" s="4" t="s">
        <v>126</v>
      </c>
      <c r="G44" s="4" t="s">
        <v>152</v>
      </c>
    </row>
    <row r="45" customFormat="false" ht="23.85" hidden="false" customHeight="false" outlineLevel="0" collapsed="false">
      <c r="A45" s="3"/>
      <c r="B45" s="8" t="s">
        <v>33</v>
      </c>
      <c r="C45" s="8" t="s">
        <v>153</v>
      </c>
      <c r="D45" s="8" t="s">
        <v>151</v>
      </c>
      <c r="E45" s="8" t="s">
        <v>151</v>
      </c>
      <c r="F45" s="8" t="s">
        <v>136</v>
      </c>
      <c r="G45" s="8"/>
    </row>
    <row r="46" customFormat="false" ht="15" hidden="false" customHeight="true" outlineLevel="0" collapsed="false">
      <c r="A46" s="3" t="s">
        <v>154</v>
      </c>
      <c r="B46" s="6" t="s">
        <v>155</v>
      </c>
      <c r="C46" s="6"/>
      <c r="D46" s="6" t="s">
        <v>156</v>
      </c>
      <c r="E46" s="6" t="s">
        <v>157</v>
      </c>
      <c r="F46" s="4" t="s">
        <v>126</v>
      </c>
      <c r="G46" s="6" t="s">
        <v>158</v>
      </c>
    </row>
    <row r="47" customFormat="false" ht="15" hidden="false" customHeight="false" outlineLevel="0" collapsed="false">
      <c r="A47" s="3"/>
      <c r="B47" s="6" t="s">
        <v>159</v>
      </c>
      <c r="C47" s="6"/>
      <c r="D47" s="6" t="s">
        <v>156</v>
      </c>
      <c r="E47" s="6" t="s">
        <v>157</v>
      </c>
      <c r="F47" s="4" t="s">
        <v>126</v>
      </c>
      <c r="G47" s="6" t="s">
        <v>158</v>
      </c>
    </row>
    <row r="48" customFormat="false" ht="15" hidden="false" customHeight="false" outlineLevel="0" collapsed="false">
      <c r="A48" s="3"/>
      <c r="B48" s="6" t="s">
        <v>160</v>
      </c>
      <c r="C48" s="6"/>
      <c r="D48" s="6" t="s">
        <v>161</v>
      </c>
      <c r="E48" s="6" t="s">
        <v>162</v>
      </c>
      <c r="F48" s="4" t="s">
        <v>126</v>
      </c>
      <c r="G48" s="6" t="s">
        <v>163</v>
      </c>
    </row>
    <row r="49" customFormat="false" ht="15" hidden="false" customHeight="false" outlineLevel="0" collapsed="false">
      <c r="A49" s="3"/>
      <c r="B49" s="6" t="s">
        <v>164</v>
      </c>
      <c r="C49" s="6"/>
      <c r="D49" s="6" t="s">
        <v>165</v>
      </c>
      <c r="E49" s="6" t="s">
        <v>166</v>
      </c>
      <c r="F49" s="4" t="s">
        <v>126</v>
      </c>
      <c r="G49" s="6" t="s">
        <v>167</v>
      </c>
    </row>
    <row r="50" customFormat="false" ht="15" hidden="false" customHeight="false" outlineLevel="0" collapsed="false">
      <c r="A50" s="3"/>
      <c r="B50" s="8" t="s">
        <v>33</v>
      </c>
      <c r="C50" s="8" t="s">
        <v>168</v>
      </c>
      <c r="D50" s="8" t="s">
        <v>166</v>
      </c>
      <c r="E50" s="8" t="s">
        <v>166</v>
      </c>
      <c r="F50" s="8" t="s">
        <v>136</v>
      </c>
      <c r="G50" s="8"/>
    </row>
    <row r="51" customFormat="false" ht="15" hidden="false" customHeight="true" outlineLevel="0" collapsed="false">
      <c r="A51" s="3" t="s">
        <v>169</v>
      </c>
      <c r="B51" s="4" t="s">
        <v>170</v>
      </c>
      <c r="C51" s="4"/>
      <c r="D51" s="4" t="s">
        <v>171</v>
      </c>
      <c r="E51" s="4" t="s">
        <v>172</v>
      </c>
      <c r="F51" s="4" t="s">
        <v>126</v>
      </c>
      <c r="G51" s="4" t="s">
        <v>173</v>
      </c>
    </row>
    <row r="52" customFormat="false" ht="15" hidden="false" customHeight="false" outlineLevel="0" collapsed="false">
      <c r="A52" s="3"/>
      <c r="B52" s="4" t="s">
        <v>174</v>
      </c>
      <c r="C52" s="4"/>
      <c r="D52" s="4" t="s">
        <v>175</v>
      </c>
      <c r="E52" s="4" t="s">
        <v>175</v>
      </c>
      <c r="F52" s="4" t="s">
        <v>126</v>
      </c>
      <c r="G52" s="4" t="s">
        <v>176</v>
      </c>
    </row>
    <row r="53" customFormat="false" ht="15" hidden="false" customHeight="false" outlineLevel="0" collapsed="false">
      <c r="A53" s="3"/>
      <c r="B53" s="4" t="s">
        <v>177</v>
      </c>
      <c r="C53" s="4"/>
      <c r="D53" s="4" t="s">
        <v>178</v>
      </c>
      <c r="E53" s="4" t="s">
        <v>178</v>
      </c>
      <c r="F53" s="4" t="s">
        <v>126</v>
      </c>
      <c r="G53" s="4" t="s">
        <v>179</v>
      </c>
    </row>
    <row r="54" customFormat="false" ht="23.85" hidden="false" customHeight="false" outlineLevel="0" collapsed="false">
      <c r="A54" s="3"/>
      <c r="B54" s="8" t="s">
        <v>33</v>
      </c>
      <c r="C54" s="8" t="s">
        <v>180</v>
      </c>
      <c r="D54" s="8" t="s">
        <v>178</v>
      </c>
      <c r="E54" s="8" t="s">
        <v>178</v>
      </c>
      <c r="F54" s="8" t="s">
        <v>136</v>
      </c>
      <c r="G54" s="8"/>
    </row>
  </sheetData>
  <autoFilter ref="A4:G54"/>
  <mergeCells count="10">
    <mergeCell ref="A1:G1"/>
    <mergeCell ref="A2:G2"/>
    <mergeCell ref="A5:A10"/>
    <mergeCell ref="A11:A21"/>
    <mergeCell ref="A22:A26"/>
    <mergeCell ref="A27:A33"/>
    <mergeCell ref="A34:A40"/>
    <mergeCell ref="A41:A45"/>
    <mergeCell ref="A46:A50"/>
    <mergeCell ref="A51:A54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4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8" min="8" style="0" width="32"/>
    <col collapsed="false" customWidth="true" hidden="false" outlineLevel="0" max="9" min="9" style="0" width="11"/>
    <col collapsed="false" customWidth="true" hidden="false" outlineLevel="0" max="10" min="10" style="0" width="34"/>
    <col collapsed="false" customWidth="true" hidden="false" outlineLevel="0" max="11" min="11" style="0" width="18"/>
    <col collapsed="false" customWidth="true" hidden="false" outlineLevel="0" max="12" min="12" style="0" width="34"/>
  </cols>
  <sheetData>
    <row r="1" customFormat="false" ht="21.75" hidden="false" customHeight="true" outlineLevel="0" collapsed="false">
      <c r="A1" s="1" t="s">
        <v>181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.75" hidden="false" customHeight="true" outlineLevel="0" collapsed="false">
      <c r="A2" s="2" t="s">
        <v>182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3.85" hidden="false" customHeight="false" outlineLevel="0" collapsed="false">
      <c r="A4" s="3" t="s">
        <v>183</v>
      </c>
      <c r="B4" s="3" t="s">
        <v>184</v>
      </c>
      <c r="C4" s="3" t="s">
        <v>185</v>
      </c>
      <c r="D4" s="3" t="s">
        <v>186</v>
      </c>
      <c r="E4" s="3" t="s">
        <v>187</v>
      </c>
      <c r="F4" s="3" t="s">
        <v>188</v>
      </c>
      <c r="G4" s="3" t="s">
        <v>4</v>
      </c>
      <c r="H4" s="3" t="s">
        <v>189</v>
      </c>
      <c r="I4" s="3" t="s">
        <v>190</v>
      </c>
      <c r="J4" s="3" t="s">
        <v>191</v>
      </c>
      <c r="K4" s="3" t="s">
        <v>192</v>
      </c>
      <c r="L4" s="3" t="s">
        <v>193</v>
      </c>
    </row>
    <row r="5" customFormat="false" ht="35.05" hidden="false" customHeight="false" outlineLevel="0" collapsed="false">
      <c r="A5" s="4" t="s">
        <v>194</v>
      </c>
      <c r="B5" s="4" t="s">
        <v>195</v>
      </c>
      <c r="C5" s="4" t="s">
        <v>196</v>
      </c>
      <c r="D5" s="4" t="s">
        <v>197</v>
      </c>
      <c r="E5" s="4" t="s">
        <v>198</v>
      </c>
      <c r="F5" s="4" t="s">
        <v>89</v>
      </c>
      <c r="G5" s="5" t="s">
        <v>199</v>
      </c>
      <c r="H5" s="4" t="s">
        <v>200</v>
      </c>
      <c r="I5" s="4" t="s">
        <v>201</v>
      </c>
      <c r="J5" s="4" t="s">
        <v>202</v>
      </c>
      <c r="K5" s="4" t="s">
        <v>198</v>
      </c>
      <c r="L5" s="4" t="s">
        <v>203</v>
      </c>
    </row>
    <row r="6" customFormat="false" ht="35.05" hidden="false" customHeight="false" outlineLevel="0" collapsed="false">
      <c r="A6" s="6" t="s">
        <v>204</v>
      </c>
      <c r="B6" s="6" t="s">
        <v>205</v>
      </c>
      <c r="C6" s="6" t="s">
        <v>206</v>
      </c>
      <c r="D6" s="6" t="s">
        <v>207</v>
      </c>
      <c r="E6" s="6" t="s">
        <v>208</v>
      </c>
      <c r="F6" s="6" t="s">
        <v>107</v>
      </c>
      <c r="G6" s="5" t="s">
        <v>199</v>
      </c>
      <c r="H6" s="6" t="s">
        <v>209</v>
      </c>
      <c r="I6" s="6" t="s">
        <v>210</v>
      </c>
      <c r="J6" s="6" t="s">
        <v>211</v>
      </c>
      <c r="K6" s="6" t="s">
        <v>208</v>
      </c>
      <c r="L6" s="6" t="s">
        <v>203</v>
      </c>
    </row>
    <row r="7" customFormat="false" ht="35.05" hidden="false" customHeight="false" outlineLevel="0" collapsed="false">
      <c r="A7" s="4" t="s">
        <v>212</v>
      </c>
      <c r="B7" s="4" t="s">
        <v>213</v>
      </c>
      <c r="C7" s="4" t="s">
        <v>214</v>
      </c>
      <c r="D7" s="4" t="s">
        <v>215</v>
      </c>
      <c r="E7" s="4" t="s">
        <v>216</v>
      </c>
      <c r="F7" s="4" t="s">
        <v>89</v>
      </c>
      <c r="G7" s="9" t="s">
        <v>217</v>
      </c>
      <c r="H7" s="4" t="s">
        <v>218</v>
      </c>
      <c r="I7" s="4" t="s">
        <v>219</v>
      </c>
      <c r="J7" s="4" t="s">
        <v>220</v>
      </c>
      <c r="K7" s="4" t="s">
        <v>221</v>
      </c>
      <c r="L7" s="4" t="s">
        <v>222</v>
      </c>
    </row>
    <row r="8" customFormat="false" ht="35.05" hidden="false" customHeight="false" outlineLevel="0" collapsed="false">
      <c r="A8" s="6" t="s">
        <v>223</v>
      </c>
      <c r="B8" s="6" t="s">
        <v>224</v>
      </c>
      <c r="C8" s="6" t="s">
        <v>225</v>
      </c>
      <c r="D8" s="6" t="s">
        <v>197</v>
      </c>
      <c r="E8" s="6" t="s">
        <v>226</v>
      </c>
      <c r="F8" s="6" t="s">
        <v>227</v>
      </c>
      <c r="G8" s="7" t="s">
        <v>228</v>
      </c>
      <c r="H8" s="6" t="s">
        <v>229</v>
      </c>
      <c r="I8" s="6" t="s">
        <v>219</v>
      </c>
      <c r="J8" s="6" t="s">
        <v>230</v>
      </c>
      <c r="K8" s="6" t="s">
        <v>231</v>
      </c>
      <c r="L8" s="6" t="s">
        <v>232</v>
      </c>
    </row>
    <row r="9" customFormat="false" ht="68.65" hidden="false" customHeight="false" outlineLevel="0" collapsed="false">
      <c r="A9" s="4" t="s">
        <v>233</v>
      </c>
      <c r="B9" s="4" t="s">
        <v>234</v>
      </c>
      <c r="C9" s="4" t="s">
        <v>235</v>
      </c>
      <c r="D9" s="4" t="s">
        <v>236</v>
      </c>
      <c r="E9" s="4" t="s">
        <v>237</v>
      </c>
      <c r="F9" s="4" t="s">
        <v>238</v>
      </c>
      <c r="G9" s="4" t="s">
        <v>239</v>
      </c>
      <c r="H9" s="4" t="s">
        <v>210</v>
      </c>
      <c r="I9" s="4" t="s">
        <v>240</v>
      </c>
      <c r="J9" s="4" t="s">
        <v>221</v>
      </c>
      <c r="K9" s="4" t="s">
        <v>241</v>
      </c>
    </row>
  </sheetData>
  <autoFilter ref="A4:L9"/>
  <mergeCells count="2">
    <mergeCell ref="A1:L1"/>
    <mergeCell ref="A2:L2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4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42"/>
    <col collapsed="false" customWidth="true" hidden="false" outlineLevel="0" max="8" min="8" style="0" width="20"/>
    <col collapsed="false" customWidth="true" hidden="false" outlineLevel="0" max="9" min="9" style="0" width="24"/>
    <col collapsed="false" customWidth="true" hidden="false" outlineLevel="0" max="11" min="11" style="0" width="10"/>
    <col collapsed="false" customWidth="true" hidden="false" outlineLevel="0" max="12" min="12" style="0" width="8"/>
  </cols>
  <sheetData>
    <row r="1" customFormat="false" ht="21.75" hidden="false" customHeight="true" outlineLevel="0" collapsed="false">
      <c r="A1" s="1" t="s">
        <v>242</v>
      </c>
      <c r="B1" s="1"/>
      <c r="C1" s="1"/>
      <c r="D1" s="1"/>
      <c r="E1" s="1"/>
      <c r="F1" s="1"/>
      <c r="G1" s="1"/>
      <c r="H1" s="1"/>
      <c r="I1" s="1"/>
    </row>
    <row r="2" customFormat="false" ht="15.75" hidden="false" customHeight="true" outlineLevel="0" collapsed="false">
      <c r="A2" s="2" t="s">
        <v>243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 t="s">
        <v>244</v>
      </c>
      <c r="B4" s="3" t="s">
        <v>245</v>
      </c>
      <c r="C4" s="3" t="s">
        <v>246</v>
      </c>
      <c r="D4" s="3" t="s">
        <v>247</v>
      </c>
      <c r="E4" s="3" t="s">
        <v>248</v>
      </c>
      <c r="F4" s="3" t="s">
        <v>249</v>
      </c>
      <c r="G4" s="3" t="s">
        <v>250</v>
      </c>
      <c r="H4" s="3" t="s">
        <v>251</v>
      </c>
      <c r="I4" s="3" t="s">
        <v>4</v>
      </c>
      <c r="K4" s="10" t="s">
        <v>252</v>
      </c>
    </row>
    <row r="5" customFormat="false" ht="23.85" hidden="false" customHeight="false" outlineLevel="0" collapsed="false">
      <c r="A5" s="4" t="s">
        <v>253</v>
      </c>
      <c r="B5" s="4" t="s">
        <v>254</v>
      </c>
      <c r="C5" s="4" t="s">
        <v>255</v>
      </c>
      <c r="D5" s="4" t="s">
        <v>256</v>
      </c>
      <c r="E5" s="4" t="s">
        <v>219</v>
      </c>
      <c r="F5" s="11" t="n">
        <f aca="false">INDEX($L$6:$L$8,MATCH(D5,$K$6:$K$8,0))*INDEX($L$6:$L$8,MATCH(E5,$K$6:$K$8,0))</f>
        <v>2</v>
      </c>
      <c r="G5" s="4" t="s">
        <v>257</v>
      </c>
      <c r="H5" s="4" t="s">
        <v>198</v>
      </c>
      <c r="I5" s="4" t="s">
        <v>258</v>
      </c>
      <c r="K5" s="10" t="s">
        <v>259</v>
      </c>
      <c r="L5" s="10" t="s">
        <v>260</v>
      </c>
    </row>
    <row r="6" customFormat="false" ht="23.85" hidden="false" customHeight="false" outlineLevel="0" collapsed="false">
      <c r="A6" s="6" t="s">
        <v>261</v>
      </c>
      <c r="B6" s="6" t="s">
        <v>262</v>
      </c>
      <c r="C6" s="6" t="s">
        <v>263</v>
      </c>
      <c r="D6" s="6" t="s">
        <v>219</v>
      </c>
      <c r="E6" s="6" t="s">
        <v>210</v>
      </c>
      <c r="F6" s="12" t="n">
        <f aca="false">INDEX($L$6:$L$8,MATCH(D6,$K$6:$K$8,0))*INDEX($L$6:$L$8,MATCH(E6,$K$6:$K$8,0))</f>
        <v>6</v>
      </c>
      <c r="G6" s="6" t="s">
        <v>264</v>
      </c>
      <c r="H6" s="6" t="s">
        <v>226</v>
      </c>
      <c r="I6" s="6" t="s">
        <v>228</v>
      </c>
      <c r="K6" s="13" t="s">
        <v>256</v>
      </c>
      <c r="L6" s="13" t="n">
        <v>1</v>
      </c>
    </row>
    <row r="7" customFormat="false" ht="23.85" hidden="false" customHeight="false" outlineLevel="0" collapsed="false">
      <c r="A7" s="4" t="s">
        <v>265</v>
      </c>
      <c r="B7" s="4" t="s">
        <v>266</v>
      </c>
      <c r="C7" s="4" t="s">
        <v>267</v>
      </c>
      <c r="D7" s="4" t="s">
        <v>219</v>
      </c>
      <c r="E7" s="4" t="s">
        <v>219</v>
      </c>
      <c r="F7" s="11" t="n">
        <f aca="false">INDEX($L$6:$L$8,MATCH(D7,$K$6:$K$8,0))*INDEX($L$6:$L$8,MATCH(E7,$K$6:$K$8,0))</f>
        <v>4</v>
      </c>
      <c r="G7" s="4" t="s">
        <v>268</v>
      </c>
      <c r="H7" s="4" t="s">
        <v>221</v>
      </c>
      <c r="I7" s="4" t="s">
        <v>269</v>
      </c>
      <c r="K7" s="13" t="s">
        <v>219</v>
      </c>
      <c r="L7" s="13" t="n">
        <v>2</v>
      </c>
    </row>
    <row r="8" customFormat="false" ht="23.85" hidden="false" customHeight="false" outlineLevel="0" collapsed="false">
      <c r="A8" s="6" t="s">
        <v>270</v>
      </c>
      <c r="B8" s="6" t="s">
        <v>271</v>
      </c>
      <c r="C8" s="6" t="s">
        <v>272</v>
      </c>
      <c r="D8" s="6" t="s">
        <v>256</v>
      </c>
      <c r="E8" s="6" t="s">
        <v>210</v>
      </c>
      <c r="F8" s="12" t="n">
        <f aca="false">INDEX($L$6:$L$8,MATCH(D8,$K$6:$K$8,0))*INDEX($L$6:$L$8,MATCH(E8,$K$6:$K$8,0))</f>
        <v>3</v>
      </c>
      <c r="G8" s="6" t="s">
        <v>273</v>
      </c>
      <c r="H8" s="6" t="s">
        <v>208</v>
      </c>
      <c r="I8" s="6" t="s">
        <v>258</v>
      </c>
      <c r="K8" s="13" t="s">
        <v>210</v>
      </c>
      <c r="L8" s="13" t="n">
        <v>3</v>
      </c>
    </row>
    <row r="9" customFormat="false" ht="23.85" hidden="false" customHeight="false" outlineLevel="0" collapsed="false">
      <c r="A9" s="4" t="s">
        <v>274</v>
      </c>
      <c r="B9" s="4" t="s">
        <v>275</v>
      </c>
      <c r="C9" s="4" t="s">
        <v>276</v>
      </c>
      <c r="D9" s="4" t="s">
        <v>219</v>
      </c>
      <c r="E9" s="4" t="s">
        <v>210</v>
      </c>
      <c r="F9" s="11" t="n">
        <f aca="false">INDEX($L$6:$L$8,MATCH(D9,$K$6:$K$8,0))*INDEX($L$6:$L$8,MATCH(E9,$K$6:$K$8,0))</f>
        <v>6</v>
      </c>
      <c r="G9" s="4" t="s">
        <v>277</v>
      </c>
      <c r="H9" s="4" t="s">
        <v>221</v>
      </c>
      <c r="I9" s="4" t="s">
        <v>269</v>
      </c>
    </row>
    <row r="10" customFormat="false" ht="23.85" hidden="false" customHeight="false" outlineLevel="0" collapsed="false">
      <c r="A10" s="6" t="s">
        <v>278</v>
      </c>
      <c r="B10" s="6" t="s">
        <v>279</v>
      </c>
      <c r="C10" s="6" t="s">
        <v>280</v>
      </c>
      <c r="D10" s="6" t="s">
        <v>219</v>
      </c>
      <c r="E10" s="6" t="s">
        <v>210</v>
      </c>
      <c r="F10" s="12" t="n">
        <f aca="false">INDEX($L$6:$L$8,MATCH(D10,$K$6:$K$8,0))*INDEX($L$6:$L$8,MATCH(E10,$K$6:$K$8,0))</f>
        <v>6</v>
      </c>
      <c r="G10" s="6" t="s">
        <v>281</v>
      </c>
      <c r="H10" s="6" t="s">
        <v>282</v>
      </c>
      <c r="I10" s="6" t="s">
        <v>283</v>
      </c>
    </row>
    <row r="11" customFormat="false" ht="23.85" hidden="false" customHeight="false" outlineLevel="0" collapsed="false">
      <c r="A11" s="4" t="s">
        <v>284</v>
      </c>
      <c r="B11" s="4" t="s">
        <v>285</v>
      </c>
      <c r="C11" s="4" t="s">
        <v>286</v>
      </c>
      <c r="D11" s="4" t="s">
        <v>210</v>
      </c>
      <c r="E11" s="4" t="s">
        <v>219</v>
      </c>
      <c r="F11" s="11" t="n">
        <f aca="false">INDEX($L$6:$L$8,MATCH(D11,$K$6:$K$8,0))*INDEX($L$6:$L$8,MATCH(E11,$K$6:$K$8,0))</f>
        <v>6</v>
      </c>
      <c r="G11" s="4" t="s">
        <v>287</v>
      </c>
      <c r="H11" s="4" t="s">
        <v>221</v>
      </c>
      <c r="I11" s="4" t="s">
        <v>269</v>
      </c>
    </row>
    <row r="12" customFormat="false" ht="23.85" hidden="false" customHeight="false" outlineLevel="0" collapsed="false">
      <c r="A12" s="6" t="s">
        <v>288</v>
      </c>
      <c r="B12" s="6" t="s">
        <v>289</v>
      </c>
      <c r="C12" s="6" t="s">
        <v>290</v>
      </c>
      <c r="D12" s="6" t="s">
        <v>256</v>
      </c>
      <c r="E12" s="6" t="s">
        <v>219</v>
      </c>
      <c r="F12" s="12" t="n">
        <f aca="false">INDEX($L$6:$L$8,MATCH(D12,$K$6:$K$8,0))*INDEX($L$6:$L$8,MATCH(E12,$K$6:$K$8,0))</f>
        <v>2</v>
      </c>
      <c r="G12" s="6" t="s">
        <v>291</v>
      </c>
      <c r="H12" s="6" t="s">
        <v>292</v>
      </c>
      <c r="I12" s="6" t="s">
        <v>269</v>
      </c>
    </row>
    <row r="13" customFormat="false" ht="23.85" hidden="false" customHeight="false" outlineLevel="0" collapsed="false">
      <c r="A13" s="4" t="s">
        <v>293</v>
      </c>
      <c r="B13" s="4" t="s">
        <v>294</v>
      </c>
      <c r="C13" s="4" t="s">
        <v>295</v>
      </c>
      <c r="D13" s="4" t="s">
        <v>256</v>
      </c>
      <c r="E13" s="4" t="s">
        <v>210</v>
      </c>
      <c r="F13" s="11" t="n">
        <f aca="false">INDEX($L$6:$L$8,MATCH(D13,$K$6:$K$8,0))*INDEX($L$6:$L$8,MATCH(E13,$K$6:$K$8,0))</f>
        <v>3</v>
      </c>
      <c r="G13" s="4" t="s">
        <v>296</v>
      </c>
      <c r="H13" s="4" t="s">
        <v>221</v>
      </c>
      <c r="I13" s="4" t="s">
        <v>297</v>
      </c>
    </row>
    <row r="14" customFormat="false" ht="15" hidden="false" customHeight="false" outlineLevel="0" collapsed="false">
      <c r="A14" s="6" t="s">
        <v>298</v>
      </c>
      <c r="B14" s="6" t="s">
        <v>299</v>
      </c>
      <c r="C14" s="6" t="s">
        <v>300</v>
      </c>
      <c r="D14" s="6" t="s">
        <v>256</v>
      </c>
      <c r="E14" s="6" t="s">
        <v>219</v>
      </c>
      <c r="F14" s="12" t="n">
        <f aca="false">INDEX($L$6:$L$8,MATCH(D14,$K$6:$K$8,0))*INDEX($L$6:$L$8,MATCH(E14,$K$6:$K$8,0))</f>
        <v>2</v>
      </c>
      <c r="G14" s="6" t="s">
        <v>301</v>
      </c>
      <c r="H14" s="6" t="s">
        <v>221</v>
      </c>
      <c r="I14" s="6" t="s">
        <v>297</v>
      </c>
    </row>
    <row r="15" customFormat="false" ht="23.85" hidden="false" customHeight="false" outlineLevel="0" collapsed="false">
      <c r="A15" s="4" t="s">
        <v>302</v>
      </c>
      <c r="B15" s="4" t="s">
        <v>303</v>
      </c>
      <c r="C15" s="4" t="s">
        <v>215</v>
      </c>
      <c r="D15" s="4" t="s">
        <v>219</v>
      </c>
      <c r="E15" s="4" t="s">
        <v>219</v>
      </c>
      <c r="F15" s="11" t="n">
        <f aca="false">INDEX($L$6:$L$8,MATCH(D15,$K$6:$K$8,0))*INDEX($L$6:$L$8,MATCH(E15,$K$6:$K$8,0))</f>
        <v>4</v>
      </c>
      <c r="G15" s="4" t="s">
        <v>304</v>
      </c>
      <c r="H15" s="4" t="s">
        <v>221</v>
      </c>
      <c r="I15" s="4" t="s">
        <v>305</v>
      </c>
    </row>
    <row r="16" customFormat="false" ht="23.85" hidden="false" customHeight="false" outlineLevel="0" collapsed="false">
      <c r="A16" s="6" t="s">
        <v>306</v>
      </c>
      <c r="B16" s="6" t="s">
        <v>307</v>
      </c>
      <c r="C16" s="6" t="s">
        <v>308</v>
      </c>
      <c r="D16" s="6" t="s">
        <v>256</v>
      </c>
      <c r="E16" s="6" t="s">
        <v>256</v>
      </c>
      <c r="F16" s="12" t="n">
        <f aca="false">INDEX($L$6:$L$8,MATCH(D16,$K$6:$K$8,0))*INDEX($L$6:$L$8,MATCH(E16,$K$6:$K$8,0))</f>
        <v>1</v>
      </c>
      <c r="G16" s="6" t="s">
        <v>309</v>
      </c>
      <c r="H16" s="6" t="s">
        <v>231</v>
      </c>
      <c r="I16" s="6" t="s">
        <v>297</v>
      </c>
    </row>
    <row r="17" customFormat="false" ht="23.85" hidden="false" customHeight="false" outlineLevel="0" collapsed="false">
      <c r="A17" s="4" t="s">
        <v>310</v>
      </c>
      <c r="B17" s="4" t="s">
        <v>311</v>
      </c>
      <c r="C17" s="4" t="s">
        <v>312</v>
      </c>
      <c r="D17" s="4" t="s">
        <v>219</v>
      </c>
      <c r="E17" s="4" t="s">
        <v>219</v>
      </c>
      <c r="F17" s="11" t="n">
        <f aca="false">INDEX($L$6:$L$8,MATCH(D17,$K$6:$K$8,0))*INDEX($L$6:$L$8,MATCH(E17,$K$6:$K$8,0))</f>
        <v>4</v>
      </c>
      <c r="G17" s="4" t="s">
        <v>313</v>
      </c>
      <c r="H17" s="4" t="s">
        <v>221</v>
      </c>
      <c r="I17" s="4" t="s">
        <v>314</v>
      </c>
    </row>
  </sheetData>
  <autoFilter ref="A4:I17"/>
  <mergeCells count="2">
    <mergeCell ref="A1:I1"/>
    <mergeCell ref="A2:I2"/>
  </mergeCells>
  <conditionalFormatting sqref="F5:F17">
    <cfRule type="colorScale" priority="2">
      <colorScale>
        <cfvo type="min" val="0"/>
        <cfvo type="percentile" val="50"/>
        <cfvo type="max" val="0"/>
        <color rgb="FFC6EFCE"/>
        <color rgb="FFFFEB9C"/>
        <color rgb="FFFFC7CE"/>
      </colorScale>
    </cfRule>
  </conditionalFormatting>
  <dataValidations count="2">
    <dataValidation allowBlank="false" errorStyle="stop" operator="between" showDropDown="false" showErrorMessage="false" showInputMessage="false" sqref="D5:D17" type="list">
      <formula1>$K$6:$K$8</formula1>
      <formula2>0</formula2>
    </dataValidation>
    <dataValidation allowBlank="false" errorStyle="stop" operator="between" showDropDown="false" showErrorMessage="false" showInputMessage="false" sqref="E5:E17" type="list">
      <formula1>$K$6:$K$8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4"/>
    <col collapsed="false" customWidth="true" hidden="false" outlineLevel="0" max="3" min="3" style="0" width="42"/>
    <col collapsed="false" customWidth="true" hidden="false" outlineLevel="0" max="4" min="4" style="0" width="24"/>
    <col collapsed="false" customWidth="true" hidden="false" outlineLevel="0" max="5" min="5" style="0" width="12"/>
    <col collapsed="false" customWidth="true" hidden="false" outlineLevel="0" max="6" min="6" style="0" width="40"/>
  </cols>
  <sheetData>
    <row r="1" customFormat="false" ht="21.75" hidden="false" customHeight="true" outlineLevel="0" collapsed="false">
      <c r="A1" s="1" t="s">
        <v>315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316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244</v>
      </c>
      <c r="B4" s="3" t="s">
        <v>317</v>
      </c>
      <c r="C4" s="3" t="s">
        <v>318</v>
      </c>
      <c r="D4" s="3" t="s">
        <v>319</v>
      </c>
      <c r="E4" s="3" t="s">
        <v>320</v>
      </c>
      <c r="F4" s="3" t="s">
        <v>248</v>
      </c>
    </row>
    <row r="5" customFormat="false" ht="23.85" hidden="false" customHeight="false" outlineLevel="0" collapsed="false">
      <c r="A5" s="4" t="s">
        <v>321</v>
      </c>
      <c r="B5" s="4" t="s">
        <v>322</v>
      </c>
      <c r="C5" s="4" t="s">
        <v>323</v>
      </c>
      <c r="D5" s="4" t="s">
        <v>324</v>
      </c>
      <c r="E5" s="4" t="s">
        <v>83</v>
      </c>
      <c r="F5" s="4" t="s">
        <v>325</v>
      </c>
    </row>
    <row r="6" customFormat="false" ht="23.85" hidden="false" customHeight="false" outlineLevel="0" collapsed="false">
      <c r="A6" s="6" t="s">
        <v>326</v>
      </c>
      <c r="B6" s="6" t="s">
        <v>327</v>
      </c>
      <c r="C6" s="6" t="s">
        <v>328</v>
      </c>
      <c r="D6" s="6" t="s">
        <v>329</v>
      </c>
      <c r="E6" s="6" t="s">
        <v>89</v>
      </c>
      <c r="F6" s="6" t="s">
        <v>330</v>
      </c>
    </row>
    <row r="7" customFormat="false" ht="23.85" hidden="false" customHeight="false" outlineLevel="0" collapsed="false">
      <c r="A7" s="4" t="s">
        <v>331</v>
      </c>
      <c r="B7" s="4" t="s">
        <v>332</v>
      </c>
      <c r="C7" s="4" t="s">
        <v>333</v>
      </c>
      <c r="D7" s="4" t="s">
        <v>221</v>
      </c>
      <c r="E7" s="4" t="s">
        <v>107</v>
      </c>
      <c r="F7" s="4" t="s">
        <v>334</v>
      </c>
    </row>
    <row r="8" customFormat="false" ht="23.85" hidden="false" customHeight="false" outlineLevel="0" collapsed="false">
      <c r="A8" s="6" t="s">
        <v>335</v>
      </c>
      <c r="B8" s="6" t="s">
        <v>336</v>
      </c>
      <c r="C8" s="6" t="s">
        <v>337</v>
      </c>
      <c r="D8" s="6" t="s">
        <v>329</v>
      </c>
      <c r="E8" s="6" t="s">
        <v>89</v>
      </c>
      <c r="F8" s="6" t="s">
        <v>338</v>
      </c>
    </row>
    <row r="9" customFormat="false" ht="23.85" hidden="false" customHeight="false" outlineLevel="0" collapsed="false">
      <c r="A9" s="4" t="s">
        <v>339</v>
      </c>
      <c r="B9" s="4" t="s">
        <v>340</v>
      </c>
      <c r="C9" s="4" t="s">
        <v>341</v>
      </c>
      <c r="D9" s="4" t="s">
        <v>221</v>
      </c>
      <c r="E9" s="4" t="s">
        <v>107</v>
      </c>
      <c r="F9" s="4" t="s">
        <v>342</v>
      </c>
    </row>
    <row r="10" customFormat="false" ht="35.05" hidden="false" customHeight="false" outlineLevel="0" collapsed="false">
      <c r="A10" s="6" t="s">
        <v>343</v>
      </c>
      <c r="B10" s="6" t="s">
        <v>344</v>
      </c>
      <c r="C10" s="6" t="s">
        <v>345</v>
      </c>
      <c r="D10" s="6" t="s">
        <v>221</v>
      </c>
      <c r="E10" s="6" t="s">
        <v>112</v>
      </c>
      <c r="F10" s="6" t="s">
        <v>346</v>
      </c>
    </row>
    <row r="11" customFormat="false" ht="23.85" hidden="false" customHeight="false" outlineLevel="0" collapsed="false">
      <c r="A11" s="4" t="s">
        <v>347</v>
      </c>
      <c r="B11" s="4" t="s">
        <v>348</v>
      </c>
      <c r="C11" s="4" t="s">
        <v>349</v>
      </c>
      <c r="D11" s="4" t="s">
        <v>221</v>
      </c>
      <c r="E11" s="4" t="s">
        <v>112</v>
      </c>
      <c r="F11" s="4" t="s">
        <v>350</v>
      </c>
    </row>
  </sheetData>
  <autoFilter ref="A4:F11"/>
  <mergeCells count="2">
    <mergeCell ref="A1:F1"/>
    <mergeCell ref="A2:F2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40"/>
    <col collapsed="false" customWidth="true" hidden="false" outlineLevel="0" max="5" min="5" style="0" width="36"/>
    <col collapsed="false" customWidth="true" hidden="false" outlineLevel="0" max="6" min="6" style="0" width="40"/>
    <col collapsed="false" customWidth="true" hidden="false" outlineLevel="0" max="7" min="7" style="0" width="12"/>
  </cols>
  <sheetData>
    <row r="1" customFormat="false" ht="21.75" hidden="false" customHeight="true" outlineLevel="0" collapsed="false">
      <c r="A1" s="1" t="s">
        <v>351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352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353</v>
      </c>
      <c r="B4" s="3" t="s">
        <v>354</v>
      </c>
      <c r="C4" s="3" t="s">
        <v>355</v>
      </c>
      <c r="D4" s="3" t="s">
        <v>356</v>
      </c>
      <c r="E4" s="3" t="s">
        <v>357</v>
      </c>
      <c r="F4" s="3" t="s">
        <v>5</v>
      </c>
      <c r="G4" s="3" t="s">
        <v>4</v>
      </c>
    </row>
    <row r="5" customFormat="false" ht="23.85" hidden="false" customHeight="false" outlineLevel="0" collapsed="false">
      <c r="A5" s="4" t="s">
        <v>358</v>
      </c>
      <c r="B5" s="4" t="s">
        <v>12</v>
      </c>
      <c r="C5" s="4" t="s">
        <v>359</v>
      </c>
      <c r="D5" s="4" t="s">
        <v>360</v>
      </c>
      <c r="E5" s="4" t="s">
        <v>361</v>
      </c>
      <c r="F5" s="4" t="s">
        <v>362</v>
      </c>
      <c r="G5" s="4" t="s">
        <v>363</v>
      </c>
    </row>
    <row r="6" customFormat="false" ht="23.85" hidden="false" customHeight="false" outlineLevel="0" collapsed="false">
      <c r="A6" s="6" t="s">
        <v>358</v>
      </c>
      <c r="B6" s="6" t="s">
        <v>25</v>
      </c>
      <c r="C6" s="6" t="s">
        <v>364</v>
      </c>
      <c r="D6" s="6" t="s">
        <v>365</v>
      </c>
      <c r="E6" s="6" t="s">
        <v>366</v>
      </c>
      <c r="F6" s="6" t="s">
        <v>367</v>
      </c>
      <c r="G6" s="6" t="s">
        <v>363</v>
      </c>
    </row>
    <row r="7" customFormat="false" ht="23.85" hidden="false" customHeight="false" outlineLevel="0" collapsed="false">
      <c r="A7" s="4" t="s">
        <v>368</v>
      </c>
      <c r="B7" s="4" t="s">
        <v>12</v>
      </c>
      <c r="C7" s="4" t="s">
        <v>359</v>
      </c>
      <c r="D7" s="4" t="s">
        <v>369</v>
      </c>
      <c r="E7" s="4" t="s">
        <v>370</v>
      </c>
      <c r="F7" s="4" t="s">
        <v>371</v>
      </c>
      <c r="G7" s="4" t="s">
        <v>363</v>
      </c>
    </row>
    <row r="8" customFormat="false" ht="23.85" hidden="false" customHeight="false" outlineLevel="0" collapsed="false">
      <c r="A8" s="6" t="s">
        <v>368</v>
      </c>
      <c r="B8" s="6" t="s">
        <v>25</v>
      </c>
      <c r="C8" s="6" t="s">
        <v>364</v>
      </c>
      <c r="D8" s="6" t="s">
        <v>372</v>
      </c>
      <c r="E8" s="6" t="s">
        <v>373</v>
      </c>
      <c r="F8" s="6" t="s">
        <v>374</v>
      </c>
      <c r="G8" s="6" t="s">
        <v>363</v>
      </c>
    </row>
    <row r="9" customFormat="false" ht="23.85" hidden="false" customHeight="false" outlineLevel="0" collapsed="false">
      <c r="A9" s="4" t="s">
        <v>375</v>
      </c>
      <c r="B9" s="4" t="s">
        <v>25</v>
      </c>
      <c r="C9" s="4" t="s">
        <v>376</v>
      </c>
      <c r="D9" s="4" t="s">
        <v>377</v>
      </c>
      <c r="E9" s="4" t="s">
        <v>378</v>
      </c>
      <c r="F9" s="4" t="s">
        <v>379</v>
      </c>
      <c r="G9" s="4" t="s">
        <v>363</v>
      </c>
    </row>
    <row r="10" customFormat="false" ht="23.85" hidden="false" customHeight="false" outlineLevel="0" collapsed="false">
      <c r="A10" s="6" t="s">
        <v>375</v>
      </c>
      <c r="B10" s="6" t="s">
        <v>12</v>
      </c>
      <c r="C10" s="6" t="s">
        <v>380</v>
      </c>
      <c r="D10" s="6" t="s">
        <v>381</v>
      </c>
      <c r="E10" s="6" t="s">
        <v>382</v>
      </c>
      <c r="F10" s="6" t="s">
        <v>379</v>
      </c>
      <c r="G10" s="6" t="s">
        <v>363</v>
      </c>
    </row>
  </sheetData>
  <autoFilter ref="A4:G10"/>
  <mergeCells count="2">
    <mergeCell ref="A1:G1"/>
    <mergeCell ref="A2:G2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44"/>
    <col collapsed="false" customWidth="true" hidden="false" outlineLevel="0" max="4" min="4" style="0" width="40"/>
  </cols>
  <sheetData>
    <row r="1" customFormat="false" ht="21.75" hidden="false" customHeight="true" outlineLevel="0" collapsed="false">
      <c r="A1" s="1" t="s">
        <v>383</v>
      </c>
      <c r="B1" s="1"/>
      <c r="C1" s="1"/>
      <c r="D1" s="1"/>
    </row>
    <row r="2" customFormat="false" ht="15.75" hidden="false" customHeight="true" outlineLevel="0" collapsed="false">
      <c r="A2" s="2" t="s">
        <v>384</v>
      </c>
      <c r="B2" s="2"/>
      <c r="C2" s="2"/>
      <c r="D2" s="2"/>
    </row>
    <row r="4" customFormat="false" ht="23.85" hidden="false" customHeight="false" outlineLevel="0" collapsed="false">
      <c r="A4" s="3" t="s">
        <v>385</v>
      </c>
      <c r="B4" s="3" t="s">
        <v>386</v>
      </c>
      <c r="C4" s="3" t="s">
        <v>387</v>
      </c>
      <c r="D4" s="3" t="s">
        <v>388</v>
      </c>
    </row>
    <row r="5" customFormat="false" ht="23.85" hidden="false" customHeight="false" outlineLevel="0" collapsed="false">
      <c r="A5" s="4" t="s">
        <v>389</v>
      </c>
      <c r="B5" s="5" t="s">
        <v>390</v>
      </c>
      <c r="C5" s="4" t="s">
        <v>391</v>
      </c>
      <c r="D5" s="4" t="s">
        <v>392</v>
      </c>
    </row>
    <row r="6" customFormat="false" ht="15" hidden="false" customHeight="false" outlineLevel="0" collapsed="false">
      <c r="A6" s="6" t="s">
        <v>393</v>
      </c>
      <c r="B6" s="5" t="s">
        <v>390</v>
      </c>
      <c r="C6" s="6" t="s">
        <v>394</v>
      </c>
      <c r="D6" s="6" t="s">
        <v>392</v>
      </c>
    </row>
    <row r="7" customFormat="false" ht="15" hidden="false" customHeight="false" outlineLevel="0" collapsed="false">
      <c r="A7" s="4" t="s">
        <v>395</v>
      </c>
      <c r="B7" s="5" t="s">
        <v>390</v>
      </c>
      <c r="C7" s="4" t="s">
        <v>396</v>
      </c>
      <c r="D7" s="4" t="s">
        <v>392</v>
      </c>
    </row>
    <row r="8" customFormat="false" ht="23.85" hidden="false" customHeight="false" outlineLevel="0" collapsed="false">
      <c r="A8" s="6" t="s">
        <v>397</v>
      </c>
      <c r="B8" s="7" t="s">
        <v>398</v>
      </c>
      <c r="C8" s="6" t="s">
        <v>399</v>
      </c>
      <c r="D8" s="6" t="s">
        <v>400</v>
      </c>
    </row>
    <row r="9" customFormat="false" ht="23.85" hidden="false" customHeight="false" outlineLevel="0" collapsed="false">
      <c r="A9" s="4" t="s">
        <v>401</v>
      </c>
      <c r="B9" s="7" t="s">
        <v>398</v>
      </c>
      <c r="C9" s="4" t="s">
        <v>402</v>
      </c>
      <c r="D9" s="4" t="s">
        <v>403</v>
      </c>
    </row>
    <row r="10" customFormat="false" ht="23.85" hidden="false" customHeight="false" outlineLevel="0" collapsed="false">
      <c r="A10" s="6" t="s">
        <v>404</v>
      </c>
      <c r="B10" s="9" t="s">
        <v>405</v>
      </c>
      <c r="C10" s="6" t="s">
        <v>406</v>
      </c>
      <c r="D10" s="6" t="s">
        <v>407</v>
      </c>
    </row>
    <row r="11" customFormat="false" ht="23.85" hidden="false" customHeight="false" outlineLevel="0" collapsed="false">
      <c r="A11" s="4" t="s">
        <v>408</v>
      </c>
      <c r="B11" s="5" t="s">
        <v>409</v>
      </c>
      <c r="C11" s="4" t="s">
        <v>410</v>
      </c>
      <c r="D11" s="4" t="s">
        <v>392</v>
      </c>
    </row>
    <row r="12" customFormat="false" ht="23.85" hidden="false" customHeight="false" outlineLevel="0" collapsed="false">
      <c r="A12" s="6" t="s">
        <v>411</v>
      </c>
      <c r="B12" s="5" t="s">
        <v>390</v>
      </c>
      <c r="C12" s="6" t="s">
        <v>412</v>
      </c>
      <c r="D12" s="6" t="s">
        <v>413</v>
      </c>
    </row>
  </sheetData>
  <autoFilter ref="A4:D12"/>
  <mergeCells count="2">
    <mergeCell ref="A1:D1"/>
    <mergeCell ref="A2:D2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2026-09-24T22:40:47Z</dcterms:created>
  <dc:creator>openpyxl</dc:creator>
  <dc:description/>
  <dc:language>en-US</dc:language>
  <cp:lastModifiedBy/>
  <dcterms:modified xsi:type="dcterms:W3CDTF">2026-09-24T22:40:47Z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