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HTROS004\Downloads\"/>
    </mc:Choice>
  </mc:AlternateContent>
  <xr:revisionPtr revIDLastSave="0" documentId="13_ncr:1_{104D79FD-522A-4903-9DF2-59B768B0B88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takeholder Register" sheetId="1" r:id="rId1"/>
    <sheet name="WBS" sheetId="2" r:id="rId2"/>
    <sheet name="Risk Register" sheetId="3" r:id="rId3"/>
    <sheet name="Communication Plan" sheetId="5" r:id="rId4"/>
    <sheet name="Dependency Register" sheetId="7" r:id="rId5"/>
    <sheet name="Detailed Timeline" sheetId="9" r:id="rId6"/>
  </sheets>
  <definedNames>
    <definedName name="_xlnm._FilterDatabase" localSheetId="3" hidden="1">'Communication Plan'!$A$4:$E$12</definedName>
    <definedName name="_xlnm._FilterDatabase" localSheetId="4" hidden="1">'Dependency Register'!$A$4:$L$12</definedName>
    <definedName name="_xlnm._FilterDatabase" localSheetId="5" hidden="1">'Detailed Timeline'!$A$4:$F$54</definedName>
    <definedName name="_xlnm._FilterDatabase" localSheetId="2" hidden="1">'Risk Register'!$A$4:$H$14</definedName>
    <definedName name="_xlnm._FilterDatabase" localSheetId="0" hidden="1">'Stakeholder Register'!$A$4:$F$16</definedName>
    <definedName name="_xlnm._FilterDatabase" localSheetId="1" hidden="1">WBS!$A$4:$G$58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3" l="1"/>
  <c r="F13" i="3"/>
  <c r="F12" i="3"/>
  <c r="F11" i="3"/>
  <c r="F10" i="3"/>
  <c r="F9" i="3"/>
  <c r="F8" i="3"/>
  <c r="F7" i="3"/>
  <c r="F6" i="3"/>
  <c r="F5" i="3"/>
</calcChain>
</file>

<file path=xl/sharedStrings.xml><?xml version="1.0" encoding="utf-8"?>
<sst xmlns="http://schemas.openxmlformats.org/spreadsheetml/2006/main" count="910" uniqueCount="520">
  <si>
    <t>Project Management deliverable — Project Manager working independently of other technical delivery roles</t>
  </si>
  <si>
    <t>Stakeholder</t>
  </si>
  <si>
    <t>Interest in Project</t>
  </si>
  <si>
    <t>Influence</t>
  </si>
  <si>
    <t>Impact</t>
  </si>
  <si>
    <t>Engagement Strategy</t>
  </si>
  <si>
    <t>Power/Interest Quadrant</t>
  </si>
  <si>
    <t>Clinic Director / Practice Manager (Project Sponsor)</t>
  </si>
  <si>
    <t>High</t>
  </si>
  <si>
    <t>Monthly steering committee meetings; ad hoc go/no-go reviews at each phase gate; final decision on full rollout</t>
  </si>
  <si>
    <t>Manage Closely</t>
  </si>
  <si>
    <t>HealthConnect Executive Committee</t>
  </si>
  <si>
    <t>Medium</t>
  </si>
  <si>
    <t>Engaged only for management-reserve or budget-escalation decisions routed by the Sponsor</t>
  </si>
  <si>
    <t>Keep Satisfied</t>
  </si>
  <si>
    <t>Compliance Officer (POPIA)</t>
  </si>
  <si>
    <t>Formal sign-off at each phase gate, including the production-readiness gate; consulted on data handling design</t>
  </si>
  <si>
    <t>IT Lead</t>
  </si>
  <si>
    <t>Weekly check-ins with the Project Manager; leads production deployment and monitoring set-up</t>
  </si>
  <si>
    <t>Data Engineer</t>
  </si>
  <si>
    <t>Weekly check-ins; owns data preparation, integration, and pipeline build</t>
  </si>
  <si>
    <t>Data Scientist</t>
  </si>
  <si>
    <t>Weekly check-ins; owns model development, testing, and retraining design</t>
  </si>
  <si>
    <t>Machine Learning Engineer</t>
  </si>
  <si>
    <t>Low</t>
  </si>
  <si>
    <t>Weekly check-ins; owns reproducibility, version control, and pipeline architecture</t>
  </si>
  <si>
    <t>Keep Informed</t>
  </si>
  <si>
    <t>Generative AI Developer</t>
  </si>
  <si>
    <t>Weekly check-ins; owns the patient information assistant build within approved scope</t>
  </si>
  <si>
    <t>Clinic Administrative &amp; Reception Staff</t>
  </si>
  <si>
    <t>Consulted on booking/reminder workflow; trained on dashboard and flagged-patient process ahead of the pilot</t>
  </si>
  <si>
    <t>Clinical Staff (Doctors, Nurses)</t>
  </si>
  <si>
    <t>Consulted on scheduling impact and escalation scenarios for the assistant</t>
  </si>
  <si>
    <t>Patients</t>
  </si>
  <si>
    <t>Represented indirectly through data patterns and pilot campaign outcomes; the ultimate measure of project success</t>
  </si>
  <si>
    <t>Monitor</t>
  </si>
  <si>
    <t>Third-Party LLM / API Provider</t>
  </si>
  <si>
    <t>Monitored by the IT Lead and Generative AI Developer for availability, cost, and usage limits</t>
  </si>
  <si>
    <t>Initiating → Planning → Executing → Closing. Dependencies shown as “# – Activity Name” — no cross-referencing required.</t>
  </si>
  <si>
    <t>Code</t>
  </si>
  <si>
    <t>Task Name</t>
  </si>
  <si>
    <t>Description</t>
  </si>
  <si>
    <t>Start Date</t>
  </si>
  <si>
    <t>End Date</t>
  </si>
  <si>
    <t>Owner</t>
  </si>
  <si>
    <t>Notes and Dependencies</t>
  </si>
  <si>
    <t>1.0</t>
  </si>
  <si>
    <t>Phase 1 — Project Initiation</t>
  </si>
  <si>
    <t>Phase heading</t>
  </si>
  <si>
    <t>2026-08-31</t>
  </si>
  <si>
    <t>2026-09-15</t>
  </si>
  <si>
    <t>—</t>
  </si>
  <si>
    <t>1.1</t>
  </si>
  <si>
    <t>Confirm business problem &amp; central question</t>
  </si>
  <si>
    <t>Confirm the no-show/patient-support problem and objectives with the Sponsor.</t>
  </si>
  <si>
    <t>2026-09-01</t>
  </si>
  <si>
    <t>Project Manager</t>
  </si>
  <si>
    <t>Depends on: None (can start at project outset)</t>
  </si>
  <si>
    <t>1.2</t>
  </si>
  <si>
    <t>Review data resources &amp; confirm assumptions</t>
  </si>
  <si>
    <t>Review the appointment dataset, dictionary, and knowledge base at a structural level; confirm identifier, consent, and capacity assumptions.</t>
  </si>
  <si>
    <t>1.3</t>
  </si>
  <si>
    <t>Develop Project Charter &amp; obtain Sponsor sign-off</t>
  </si>
  <si>
    <t>Draft and finalise the Project Charter, including scope, authority levels, and success criteria.</t>
  </si>
  <si>
    <t>2026-09-02</t>
  </si>
  <si>
    <t>2026-09-10</t>
  </si>
  <si>
    <t>Depends on: 1.1 – Confirm business problem &amp; central question; 1.2 – Review data resources &amp; confirm assumptions</t>
  </si>
  <si>
    <t>1.4</t>
  </si>
  <si>
    <t>Compile Stakeholder Register</t>
  </si>
  <si>
    <t>Identify and document all project stakeholders and their engagement approach.</t>
  </si>
  <si>
    <t>2026-09-11</t>
  </si>
  <si>
    <t>Depends on: 1.3 – Develop Project Charter &amp; obtain Sponsor sign-off</t>
  </si>
  <si>
    <t>1.5</t>
  </si>
  <si>
    <t>Confirm resourcing</t>
  </si>
  <si>
    <t>Confirm availability of Data Engineer, Data Scientist, ML Engineer, GenAI Developer, IT Lead, Compliance Officer.</t>
  </si>
  <si>
    <t>2.0</t>
  </si>
  <si>
    <t>Phase 2 — Planning</t>
  </si>
  <si>
    <t>2026-09-16</t>
  </si>
  <si>
    <t>2026-10-02</t>
  </si>
  <si>
    <t>2.1</t>
  </si>
  <si>
    <t>Develop Work Breakdown Structure</t>
  </si>
  <si>
    <t>Decompose the project into phases, deliverables, and tasks (this table).</t>
  </si>
  <si>
    <t>2026-09-18</t>
  </si>
  <si>
    <t>Depends on: 1.4 – Compile Stakeholder Register; 1.5 – Confirm resourcing</t>
  </si>
  <si>
    <t>2.2</t>
  </si>
  <si>
    <t>Develop project schedule (activity durations &amp; dependencies)</t>
  </si>
  <si>
    <t>Convert the WBS into a duration- and dependency-driven activity list.</t>
  </si>
  <si>
    <t>2026-09-21</t>
  </si>
  <si>
    <t>2026-09-23</t>
  </si>
  <si>
    <t>Depends on: 2.1 – Develop Work Breakdown Structure</t>
  </si>
  <si>
    <t>2.3</t>
  </si>
  <si>
    <t>Build network diagram &amp; critical path analysis</t>
  </si>
  <si>
    <t>Diagram the activity network and run the CPM forward/backward pass to find the critical path.</t>
  </si>
  <si>
    <t>2026-09-24</t>
  </si>
  <si>
    <t>2026-09-25</t>
  </si>
  <si>
    <t>Depends on: 2.2 – Develop project schedule (activity durations &amp; dependencies)</t>
  </si>
  <si>
    <t>2.4</t>
  </si>
  <si>
    <t>Conduct schedule risk analysis</t>
  </si>
  <si>
    <t>Identify which activities have the least float and size schedule contingency around them.</t>
  </si>
  <si>
    <t>2026-09-28</t>
  </si>
  <si>
    <t>2026-09-29</t>
  </si>
  <si>
    <t>Depends on: 2.3 – Build network diagram &amp; critical path analysis</t>
  </si>
  <si>
    <t>2.5</t>
  </si>
  <si>
    <t>Develop Resource Management Plan</t>
  </si>
  <si>
    <t>Define roles, RACI, resource calendar, and release plan.</t>
  </si>
  <si>
    <t>2.6</t>
  </si>
  <si>
    <t>Develop Communication Plan</t>
  </si>
  <si>
    <t>Define who communicates what, to whom, how, and how often.</t>
  </si>
  <si>
    <t>2026-09-17</t>
  </si>
  <si>
    <t>Depends on: 1.4 – Compile Stakeholder Register</t>
  </si>
  <si>
    <t>2.7</t>
  </si>
  <si>
    <t>Develop Quality Management Plan</t>
  </si>
  <si>
    <t>Define quality objectives, phase-gate evidence requirements, and QC criteria.</t>
  </si>
  <si>
    <t>2.8</t>
  </si>
  <si>
    <t>Develop cost baseline / Project Budget</t>
  </si>
  <si>
    <t>Build the cost baseline and phase-by-phase budget, including the contingency reserve.</t>
  </si>
  <si>
    <t>2.9</t>
  </si>
  <si>
    <t>Expand Risk Register &amp; Dependency Register to full planning detail</t>
  </si>
  <si>
    <t>Expand the Week 4 high-level risks/dependencies into full planning-stage detail with scores and owners.</t>
  </si>
  <si>
    <t>2026-09-30</t>
  </si>
  <si>
    <t>2026-10-01</t>
  </si>
  <si>
    <t>Depends on: 2.4 – Conduct schedule risk analysis</t>
  </si>
  <si>
    <t>2.10</t>
  </si>
  <si>
    <t>Planning phase gate: baseline sign-off (scope, schedule, cost)</t>
  </si>
  <si>
    <t>Sponsor formally approves the scope, schedule, and cost baseline before execution begins.</t>
  </si>
  <si>
    <t>Project Manager / Sponsor</t>
  </si>
  <si>
    <t>Depends on: 2.4 – Conduct schedule risk analysis; 2.5 – Develop Resource Management Plan; 2.6 – Develop Communication Plan; 2.7 – Develop Quality Management Plan; 2.8 – Develop cost baseline / Project Budget; 2.9 – Expand Risk Register &amp; Dependency Register to full planning detail</t>
  </si>
  <si>
    <t>3.0</t>
  </si>
  <si>
    <t>Phase 3 — Analysis &amp; Data Preparation</t>
  </si>
  <si>
    <t>2026-10-05</t>
  </si>
  <si>
    <t>2026-10-14</t>
  </si>
  <si>
    <t>3.1</t>
  </si>
  <si>
    <t>Data quality assessment &amp; cleaning</t>
  </si>
  <si>
    <t>Assess completeness and consistency of the appointment dataset.</t>
  </si>
  <si>
    <t>2026-10-09</t>
  </si>
  <si>
    <t>Depends on: 2.10 – Planning phase gate: baseline sign-off (scope, schedule, cost)</t>
  </si>
  <si>
    <t>3.2</t>
  </si>
  <si>
    <t>Exploratory data analysis &amp; KPI definition</t>
  </si>
  <si>
    <t>Explore attendance patterns; define candidate KPIs.</t>
  </si>
  <si>
    <t>3.3</t>
  </si>
  <si>
    <t>Confirm/construct unified patient identifier</t>
  </si>
  <si>
    <t>Confirm a common identifier across scheduling and reminder records, or construct one.</t>
  </si>
  <si>
    <t>3.4</t>
  </si>
  <si>
    <t>Define no-show prediction problem</t>
  </si>
  <si>
    <t>Define target variable and candidate input features.</t>
  </si>
  <si>
    <t>2026-10-12</t>
  </si>
  <si>
    <t>Depends on: 3.1 – Data quality assessment &amp; cleaning; 3.2 – Exploratory data analysis &amp; KPI definition; 3.3 – Confirm/construct unified patient identifier</t>
  </si>
  <si>
    <t>4.0</t>
  </si>
  <si>
    <t>Phase 4 — Solution Design</t>
  </si>
  <si>
    <t>2026-10-15</t>
  </si>
  <si>
    <t>2026-10-28</t>
  </si>
  <si>
    <t>4.1</t>
  </si>
  <si>
    <t>Model design &amp; validation approach</t>
  </si>
  <si>
    <t>Define modelling approach and validation methodology.</t>
  </si>
  <si>
    <t>2026-10-20</t>
  </si>
  <si>
    <t>Depends on: 3.4 – Define no-show prediction problem</t>
  </si>
  <si>
    <t>4.2</t>
  </si>
  <si>
    <t>Segmentation design</t>
  </si>
  <si>
    <t>Design behavioural/risk segmentation layered on prediction scores.</t>
  </si>
  <si>
    <t>4.3</t>
  </si>
  <si>
    <t>ML system architecture &amp; reproducibility design</t>
  </si>
  <si>
    <t>Design the high-level, reproducible ML system architecture.</t>
  </si>
  <si>
    <t>2026-10-21</t>
  </si>
  <si>
    <t>2026-10-27</t>
  </si>
  <si>
    <t>ML Engineer</t>
  </si>
  <si>
    <t>Depends on: 4.1 – Model design &amp; validation approach; 4.2 – Segmentation design</t>
  </si>
  <si>
    <t>4.4</t>
  </si>
  <si>
    <t>GenAI assistant scope &amp; safety boundaries</t>
  </si>
  <si>
    <t>Define assistant use cases, out-of-scope requests, and safety/escalation design.</t>
  </si>
  <si>
    <t>4.5</t>
  </si>
  <si>
    <t>Dashboard/report design</t>
  </si>
  <si>
    <t>Design the at-risk patient dashboard for clinic staff.</t>
  </si>
  <si>
    <t>4.6</t>
  </si>
  <si>
    <t>Phase gate: design review &amp; Sponsor go/no-go</t>
  </si>
  <si>
    <t>Present design outputs to the Sponsor for approval to proceed.</t>
  </si>
  <si>
    <t>Depends on: 4.3 – ML system architecture &amp; reproducibility design; 4.4 – GenAI assistant scope &amp; safety boundaries; 4.5 – Dashboard/report design</t>
  </si>
  <si>
    <t>5.0</t>
  </si>
  <si>
    <t>Phase 5 — Model &amp; Assistant Development</t>
  </si>
  <si>
    <t>2026-10-29</t>
  </si>
  <si>
    <t>2027-02-04</t>
  </si>
  <si>
    <t>5.1</t>
  </si>
  <si>
    <t>Build &amp; iteratively test no-show prediction model</t>
  </si>
  <si>
    <t>Iterative build-test cycles for the prediction model.</t>
  </si>
  <si>
    <t>2027-01-20</t>
  </si>
  <si>
    <t>Depends on: 4.6 – Phase gate: design review &amp; Sponsor go/no-go</t>
  </si>
  <si>
    <t>5.2</t>
  </si>
  <si>
    <t>Build data integration / pipeline</t>
  </si>
  <si>
    <t>Build the data preparation and integration pipeline.</t>
  </si>
  <si>
    <t>2026-11-25</t>
  </si>
  <si>
    <t>5.3</t>
  </si>
  <si>
    <t>Build reproducible ML pipeline &amp; version control</t>
  </si>
  <si>
    <t>Implement pipeline versioning and reproducibility structure.</t>
  </si>
  <si>
    <t>2026-11-26</t>
  </si>
  <si>
    <t>Depends on: 5.2 – Build data integration / pipeline</t>
  </si>
  <si>
    <t>5.4</t>
  </si>
  <si>
    <t>Build GenAI assistant prototype</t>
  </si>
  <si>
    <t>Build the patient information assistant within the approved Knowledge Base scope.</t>
  </si>
  <si>
    <t>2027-02-03</t>
  </si>
  <si>
    <t>5.5</t>
  </si>
  <si>
    <t>Build dashboard/reporting</t>
  </si>
  <si>
    <t>Build the at-risk patient dashboard for clinic staff.</t>
  </si>
  <si>
    <t>2027-01-13</t>
  </si>
  <si>
    <t>5.6</t>
  </si>
  <si>
    <t>Mid-development integration checkpoint</t>
  </si>
  <si>
    <t>Confirm model, pipeline, assistant, and dashboard integrate as designed.</t>
  </si>
  <si>
    <t>Depends on: 5.1 – Build &amp; iteratively test no-show prediction model; 5.3 – Build reproducible ML pipeline &amp; version control; 5.4 – Build GenAI assistant prototype; 5.5 – Build dashboard/reporting</t>
  </si>
  <si>
    <t>6.0</t>
  </si>
  <si>
    <t>Phase 6 — Pilot Campaign</t>
  </si>
  <si>
    <t>2027-02-05</t>
  </si>
  <si>
    <t>2027-02-19</t>
  </si>
  <si>
    <t>6.1</t>
  </si>
  <si>
    <t>Validate segments with clinic staff</t>
  </si>
  <si>
    <t>Clinic staff review and validate risk segments.</t>
  </si>
  <si>
    <t>2027-02-08</t>
  </si>
  <si>
    <t>Clinic Admin &amp; Clinical Staff</t>
  </si>
  <si>
    <t>Depends on: 5.6 – Mid-development integration checkpoint</t>
  </si>
  <si>
    <t>6.2</t>
  </si>
  <si>
    <t>Train staff on dashboard &amp; flagged-patient process</t>
  </si>
  <si>
    <t>Train administrative and clinical staff on the dashboard and intervention process.</t>
  </si>
  <si>
    <t>2027-02-09</t>
  </si>
  <si>
    <t>2027-02-11</t>
  </si>
  <si>
    <t>Depends on: 6.1 – Validate segments with clinic staff</t>
  </si>
  <si>
    <t>6.3</t>
  </si>
  <si>
    <t>Run pilot reminder/retention campaign</t>
  </si>
  <si>
    <t>Execute the pilot campaign on flagged at-risk patients.</t>
  </si>
  <si>
    <t>2027-02-12</t>
  </si>
  <si>
    <t>2027-02-18</t>
  </si>
  <si>
    <t>Depends on: 6.2 – Train staff on dashboard &amp; flagged-patient process</t>
  </si>
  <si>
    <t>6.4</t>
  </si>
  <si>
    <t>Measure pilot results vs. control group</t>
  </si>
  <si>
    <t>Compare no-show rate of the flagged/treated group against a control group.</t>
  </si>
  <si>
    <t>Depends on: 6.3 – Run pilot reminder/retention campaign</t>
  </si>
  <si>
    <t>7.0</t>
  </si>
  <si>
    <t>Phase 7 — Testing, Deployment &amp; Monitoring</t>
  </si>
  <si>
    <t>2027-02-22</t>
  </si>
  <si>
    <t>2027-03-10</t>
  </si>
  <si>
    <t>7.1</t>
  </si>
  <si>
    <t>Model validation against test data &amp; KPI targets</t>
  </si>
  <si>
    <t>Validate model accuracy against the held-out test dataset and the 75% target.</t>
  </si>
  <si>
    <t>2027-02-24</t>
  </si>
  <si>
    <t>Depends on: 6.4 – Measure pilot results vs. control group</t>
  </si>
  <si>
    <t>7.2</t>
  </si>
  <si>
    <t>Assistant safety &amp; scope testing</t>
  </si>
  <si>
    <t>Test the assistant's adherence to safety boundaries and escalation rules.</t>
  </si>
  <si>
    <t>7.3</t>
  </si>
  <si>
    <t>Production deployment</t>
  </si>
  <si>
    <t>Deploy the model, dashboard, and assistant to production.</t>
  </si>
  <si>
    <t>2027-02-25</t>
  </si>
  <si>
    <t>2027-03-03</t>
  </si>
  <si>
    <t>Depends on: 7.1 – Model validation against test data &amp; KPI targets; 7.2 – Assistant safety &amp; scope testing</t>
  </si>
  <si>
    <t>7.4</t>
  </si>
  <si>
    <t>Establish monitoring &amp; retraining schedule</t>
  </si>
  <si>
    <t>Stand up the ongoing monitoring process and define the retraining schedule.</t>
  </si>
  <si>
    <t>2027-03-04</t>
  </si>
  <si>
    <t>Data Scientist / ML Engineer</t>
  </si>
  <si>
    <t>Depends on: 7.3 – Production deployment</t>
  </si>
  <si>
    <t>8.0</t>
  </si>
  <si>
    <t>Phase 8 — Operational Handover &amp; Closure</t>
  </si>
  <si>
    <t>2027-03-11</t>
  </si>
  <si>
    <t>2027-03-17</t>
  </si>
  <si>
    <t>8.1</t>
  </si>
  <si>
    <t>Train internal IT/Data team</t>
  </si>
  <si>
    <t>Train HealthConnect's internal IT/Data team on monitoring and retraining.</t>
  </si>
  <si>
    <t>2027-03-15</t>
  </si>
  <si>
    <t>Project Manager / Data Scientist</t>
  </si>
  <si>
    <t>Depends on: 7.4 – Establish monitoring &amp; retraining schedule</t>
  </si>
  <si>
    <t>8.2</t>
  </si>
  <si>
    <t>Final presentation &amp; documentation handover</t>
  </si>
  <si>
    <t>Present consolidated outcomes and hand over documentation.</t>
  </si>
  <si>
    <t>2027-03-16</t>
  </si>
  <si>
    <t>Depends on: 8.1 – Train internal IT/Data team</t>
  </si>
  <si>
    <t>8.3</t>
  </si>
  <si>
    <t>Project closure &amp; lessons learned</t>
  </si>
  <si>
    <t>Formal closure, retrospective, and lessons-learned capture.</t>
  </si>
  <si>
    <t>Milestone. Depends on: 8.2 – Final presentation &amp; documentation handover</t>
  </si>
  <si>
    <t>9.0</t>
  </si>
  <si>
    <t>Phase 9 — Project Management (continuous)</t>
  </si>
  <si>
    <t>9.1</t>
  </si>
  <si>
    <t>Weekly status tracking &amp; risk/dependency monitoring</t>
  </si>
  <si>
    <t>Track task progress; update the risk and dependency registers.</t>
  </si>
  <si>
    <t>Runs throughout; no single predecessor</t>
  </si>
  <si>
    <t>9.2</t>
  </si>
  <si>
    <t>Budget tracking &amp; contingency management</t>
  </si>
  <si>
    <t>Track budget vs actual; log any contingency draws.</t>
  </si>
  <si>
    <t>9.3</t>
  </si>
  <si>
    <t>Steering committee reporting</t>
  </si>
  <si>
    <t>Prepare and present monthly steering committee updates.</t>
  </si>
  <si>
    <t>Runs throughout; monthly cadence</t>
  </si>
  <si>
    <t>Risk Score = Likelihood value × Impact value (see scale, cols J:K)</t>
  </si>
  <si>
    <t>ID</t>
  </si>
  <si>
    <t>Risk Description</t>
  </si>
  <si>
    <t>Category</t>
  </si>
  <si>
    <t>Likelihood</t>
  </si>
  <si>
    <t>Risk Score</t>
  </si>
  <si>
    <t>Mitigation Strategy</t>
  </si>
  <si>
    <t>Scale</t>
  </si>
  <si>
    <t>R1</t>
  </si>
  <si>
    <t>Data quality issues in the appointment dataset (missing, inconsistent, or unclear fields)</t>
  </si>
  <si>
    <t>Data</t>
  </si>
  <si>
    <t>Early data quality assessment (WBS 2.1); document assumptions and cleaning steps before modelling</t>
  </si>
  <si>
    <t>Level</t>
  </si>
  <si>
    <t>Value</t>
  </si>
  <si>
    <t>R2</t>
  </si>
  <si>
    <t>No-show prediction model accuracy falls below the 75% target</t>
  </si>
  <si>
    <t>Model</t>
  </si>
  <si>
    <t>Iterative build-test cycles (WBS 4.1); feature engineering review if early accuracy lags</t>
  </si>
  <si>
    <t>R3</t>
  </si>
  <si>
    <t>Low staff adoption of at-risk patient flags and reminder recommendations</t>
  </si>
  <si>
    <t>Adoption</t>
  </si>
  <si>
    <t>Early staff involvement in segment validation (WBS 5.1) and structured training (WBS 5.2)</t>
  </si>
  <si>
    <t>R4</t>
  </si>
  <si>
    <t>Generative AI assistant produces out-of-scope or unsafe responses (e.g., clinical advice)</t>
  </si>
  <si>
    <t>Safety / Compliance</t>
  </si>
  <si>
    <t>Strict Knowledge-Base-only design (WBS 3.4); dedicated safety and scope testing (WBS 6.2)</t>
  </si>
  <si>
    <t>R5</t>
  </si>
  <si>
    <t>Insufficient internal capacity at HealthConnect to sustain monitoring and retraining after handover</t>
  </si>
  <si>
    <t>Operational</t>
  </si>
  <si>
    <t>Confirm internal team availability early (DEP-008); structured handover training (WBS 7.1)</t>
  </si>
  <si>
    <t>R6</t>
  </si>
  <si>
    <t>Data privacy / POPIA compliance exposure given health-related patient data</t>
  </si>
  <si>
    <t>Compliance</t>
  </si>
  <si>
    <t>Compliance Officer sign-off at each phase gate; confirm consent status early (DEP-003)</t>
  </si>
  <si>
    <t>Compliance Officer</t>
  </si>
  <si>
    <t>R7</t>
  </si>
  <si>
    <t>Schedule pressure from the December office closure falling within the project timeline</t>
  </si>
  <si>
    <t>Schedule</t>
  </si>
  <si>
    <t>December fully excluded from the active 20-week schedule; work resumes in January with buffer</t>
  </si>
  <si>
    <t>R8</t>
  </si>
  <si>
    <t>Dependency on third-party LLM/API availability, rate limits, or cost for the assistant</t>
  </si>
  <si>
    <t>Technical / Vendor</t>
  </si>
  <si>
    <t>Early API access testing (WBS 4.4); fallback/offline model option identified</t>
  </si>
  <si>
    <t>R9</t>
  </si>
  <si>
    <t>Scope creep beyond the agreed prototype/pilot boundary into full production rollout without sign-off</t>
  </si>
  <si>
    <t>Scope</t>
  </si>
  <si>
    <t>Reinforce Scope Statement; Sponsor sign-off required through change control for any scope change</t>
  </si>
  <si>
    <t>R10</t>
  </si>
  <si>
    <t>Budget overrun beyond the approved contingency due to unforeseen integration complexity</t>
  </si>
  <si>
    <t>Financial</t>
  </si>
  <si>
    <t>Weekly budget tracking (WBS 8.2); contingency draws logged and approved per the authority matrix</t>
  </si>
  <si>
    <t>Owned and originated by the Project Manager unless noted otherwise</t>
  </si>
  <si>
    <t>Team Members</t>
  </si>
  <si>
    <t>Information</t>
  </si>
  <si>
    <t>Frequency</t>
  </si>
  <si>
    <t>Method</t>
  </si>
  <si>
    <t>Clinic Director / Practice Manager (Sponsor)</t>
  </si>
  <si>
    <t>Progress vs. plan, budget-vs-actual, risk register status, decisions required</t>
  </si>
  <si>
    <t>Weekly written update; monthly meeting</t>
  </si>
  <si>
    <t>Status report (email) + Steering Committee meeting</t>
  </si>
  <si>
    <t>Project Steering Committee</t>
  </si>
  <si>
    <t>Milestone/phase-gate outcomes, go/no-go decisions, pilot results</t>
  </si>
  <si>
    <t>Monthly, plus ad hoc at each phase gate</t>
  </si>
  <si>
    <t>Steering Committee meeting</t>
  </si>
  <si>
    <t>POPIA compliance status, data handling review outcomes</t>
  </si>
  <si>
    <t>At each phase gate and as needed</t>
  </si>
  <si>
    <t>Formal review meeting / document sign-off</t>
  </si>
  <si>
    <t>System access, technical dependencies, deployment readiness</t>
  </si>
  <si>
    <t>Weekly; increasing to twice-weekly during Weeks 18–19 (deployment)</t>
  </si>
  <si>
    <t>Check-in meeting + email</t>
  </si>
  <si>
    <t>Data Engineer / Data Scientist / ML Engineer / Generative AI Developer</t>
  </si>
  <si>
    <t>Task progress, blockers, technical decisions</t>
  </si>
  <si>
    <t>Weekly</t>
  </si>
  <si>
    <t>Check-in meeting + project tracking tool</t>
  </si>
  <si>
    <t>Clinic Administrative &amp; Clinical Staff</t>
  </si>
  <si>
    <t>Segment validation, dashboard training, pilot campaign coordination</t>
  </si>
  <si>
    <t>As needed, concentrated in Weeks 15–17</t>
  </si>
  <si>
    <t>Training session + email updates</t>
  </si>
  <si>
    <t>HealthConnect Internal IT/Data Team</t>
  </si>
  <si>
    <t>Handover training, monitoring and retraining process</t>
  </si>
  <si>
    <t>Concentrated in Week 20 (handover)</t>
  </si>
  <si>
    <t>Handover workshop + written documentation</t>
  </si>
  <si>
    <t>Finance / Executive Committee</t>
  </si>
  <si>
    <t>Budget-vs-actual reporting</t>
  </si>
  <si>
    <t>Monthly</t>
  </si>
  <si>
    <t>Budget report (Excel)</t>
  </si>
  <si>
    <t>Major Phase</t>
  </si>
  <si>
    <t>Project Charter approved by Sponsor</t>
  </si>
  <si>
    <t>No-show prediction problem formally defined</t>
  </si>
  <si>
    <t>Pilot results measured against control group</t>
  </si>
  <si>
    <t>Model and assistant live in production</t>
  </si>
  <si>
    <t>Operational handover complete; project closed</t>
  </si>
  <si>
    <t>2027-02-15</t>
  </si>
  <si>
    <t>Tracked separately from the Risk Register</t>
  </si>
  <si>
    <t>Dependency ID</t>
  </si>
  <si>
    <t>Dependency / Description</t>
  </si>
  <si>
    <t>Dependent Activity/Task</t>
  </si>
  <si>
    <t>Dependency Type</t>
  </si>
  <si>
    <t>Source / Owner</t>
  </si>
  <si>
    <t>Required By</t>
  </si>
  <si>
    <t>Status</t>
  </si>
  <si>
    <t>Impact if Delayed</t>
  </si>
  <si>
    <t>Criticality</t>
  </si>
  <si>
    <t>Mitigation / Action</t>
  </si>
  <si>
    <t>Responsible Person</t>
  </si>
  <si>
    <t>Notes</t>
  </si>
  <si>
    <t>DEP-001</t>
  </si>
  <si>
    <t>Confirmed access to the HealthConnect Appointment Dataset, usable for analysis and modelling</t>
  </si>
  <si>
    <t>2.1 Data quality assessment &amp; cleaning</t>
  </si>
  <si>
    <t>Internal / Data</t>
  </si>
  <si>
    <t>In Progress</t>
  </si>
  <si>
    <t>Data preparation and modelling timeline slips</t>
  </si>
  <si>
    <t>Escalate to Sponsor for prioritised IT access</t>
  </si>
  <si>
    <t>Dataset provided as a single fictional/anonymised file</t>
  </si>
  <si>
    <t>DEP-002</t>
  </si>
  <si>
    <t>A common (or derivable) patient identifier confirmed across scheduling and reminder records</t>
  </si>
  <si>
    <t>2.3 Confirm/construct unified patient identifier</t>
  </si>
  <si>
    <t>Technical</t>
  </si>
  <si>
    <t>Not Started</t>
  </si>
  <si>
    <t>Data integration requires rework</t>
  </si>
  <si>
    <t>Critical</t>
  </si>
  <si>
    <t>Build a matching/linking key as a fallback if no shared identifier exists</t>
  </si>
  <si>
    <t>DEP-003</t>
  </si>
  <si>
    <t>POPIA consent status confirmed for the appointment data used in the project</t>
  </si>
  <si>
    <t>1.2 Review data resources &amp; confirm assumptions</t>
  </si>
  <si>
    <t>Regulatory / Compliance</t>
  </si>
  <si>
    <t>2026-09-04</t>
  </si>
  <si>
    <t>Project pauses pending compliance clearance</t>
  </si>
  <si>
    <t>Request early written confirmation from Compliance</t>
  </si>
  <si>
    <t>DEP-004</t>
  </si>
  <si>
    <t>Finalised, Sponsor-approved Clinic Knowledge Base scope for the patient information assistant</t>
  </si>
  <si>
    <t>3.4 GenAI assistant scope &amp; safety boundaries</t>
  </si>
  <si>
    <t>Internal / Content</t>
  </si>
  <si>
    <t>Clinic Administration</t>
  </si>
  <si>
    <t>Assistant scope and safety boundaries remain undefined</t>
  </si>
  <si>
    <t>Draft an interim scope for Sponsor approval if the final Knowledge Base is delayed</t>
  </si>
  <si>
    <t>DEP-005</t>
  </si>
  <si>
    <t>Administrative and clinical staff availability for segment validation and pilot execution</t>
  </si>
  <si>
    <t>5.1 Validate segments with clinic staff</t>
  </si>
  <si>
    <t>Resource</t>
  </si>
  <si>
    <t>2027-01-19</t>
  </si>
  <si>
    <t>Pilot campaign delayed or under-resourced</t>
  </si>
  <si>
    <t>Confirm staff resourcing at the Phase 3 gate</t>
  </si>
  <si>
    <t>DEP-006</t>
  </si>
  <si>
    <t>Third-party LLM/API access, licensing terms, and usage limits confirmed</t>
  </si>
  <si>
    <t>4.4 Build GenAI assistant prototype</t>
  </si>
  <si>
    <t>External / Vendor</t>
  </si>
  <si>
    <t>IT Lead / LLM Provider</t>
  </si>
  <si>
    <t>Assistant build blocked or delayed</t>
  </si>
  <si>
    <t>Identify a fallback or offline model option</t>
  </si>
  <si>
    <t>DEP-007</t>
  </si>
  <si>
    <t>Production environment / hosting readiness for the model, dashboard, and assistant</t>
  </si>
  <si>
    <t>6.3 Production deployment</t>
  </si>
  <si>
    <t>Deployment slips past the planned date</t>
  </si>
  <si>
    <t>Confirm environment readiness early in Phase 4</t>
  </si>
  <si>
    <t>DEP-008</t>
  </si>
  <si>
    <t>HealthConnect internal IT/Data team nominated and available for handover training</t>
  </si>
  <si>
    <t>7.1 Train internal IT/Data team</t>
  </si>
  <si>
    <t>Resource / Internal</t>
  </si>
  <si>
    <t>Clinic Management</t>
  </si>
  <si>
    <t>Handover delayed; consultant support required beyond Week 20</t>
  </si>
  <si>
    <t>Confirm nominated staff at the Phase 6 gate</t>
  </si>
  <si>
    <t>Milestone</t>
  </si>
  <si>
    <t xml:space="preserve">    •  8.3  Project closure &amp; lessons learned</t>
  </si>
  <si>
    <t xml:space="preserve">    •  8.2  Final presentation &amp; documentation handover</t>
  </si>
  <si>
    <t xml:space="preserve">    •  8.1  Train internal IT/Data team</t>
  </si>
  <si>
    <t xml:space="preserve">    •  7.4  Establish monitoring &amp; retraining schedule</t>
  </si>
  <si>
    <t>7.1; 7.2</t>
  </si>
  <si>
    <t xml:space="preserve">    •  7.3  Production deployment</t>
  </si>
  <si>
    <t xml:space="preserve">    •  7.2  Assistant safety &amp; scope testing</t>
  </si>
  <si>
    <t xml:space="preserve">    •  7.1  Model validation against test data &amp; KPI targets</t>
  </si>
  <si>
    <t xml:space="preserve">    •  6.4  Measure pilot results vs. control group</t>
  </si>
  <si>
    <t xml:space="preserve">    •  6.3  Run pilot reminder/retention campaign</t>
  </si>
  <si>
    <t xml:space="preserve">    •  6.2  Train staff on dashboard &amp; flagged-patient process</t>
  </si>
  <si>
    <t xml:space="preserve">    •  6.1  Validate segments with clinic staff</t>
  </si>
  <si>
    <t>5.1; 5.3; 5.4; 5.5</t>
  </si>
  <si>
    <t xml:space="preserve">    •  5.6  Mid-development integration checkpoint</t>
  </si>
  <si>
    <t xml:space="preserve">    •  5.5  Build dashboard/reporting</t>
  </si>
  <si>
    <t xml:space="preserve">    •  5.4  Build GenAI assistant prototype</t>
  </si>
  <si>
    <t xml:space="preserve">    •  5.3  Build reproducible ML pipeline &amp; version control</t>
  </si>
  <si>
    <t xml:space="preserve">    •  5.2  Build data integration / pipeline</t>
  </si>
  <si>
    <t xml:space="preserve">    •  5.1  Build &amp; iteratively test no-show prediction model</t>
  </si>
  <si>
    <t>Design approved at Phase Gate (Sponsor go/no-go)</t>
  </si>
  <si>
    <t>4.3; 4.4; 4.5</t>
  </si>
  <si>
    <t xml:space="preserve">    •  4.6  Phase gate: design review &amp; Sponsor go/no-go</t>
  </si>
  <si>
    <t>4.1; 4.2</t>
  </si>
  <si>
    <t xml:space="preserve">    •  4.5  Dashboard/report design</t>
  </si>
  <si>
    <t xml:space="preserve">    •  4.4  GenAI assistant scope &amp; safety boundaries</t>
  </si>
  <si>
    <t xml:space="preserve">    •  4.3  ML system architecture &amp; reproducibility design</t>
  </si>
  <si>
    <t xml:space="preserve">    •  4.2  Segmentation design</t>
  </si>
  <si>
    <t xml:space="preserve">    •  4.1  Model design &amp; validation approach</t>
  </si>
  <si>
    <t>3.1; 3.2; 3.3</t>
  </si>
  <si>
    <t xml:space="preserve">    •  3.4  Define no-show prediction problem</t>
  </si>
  <si>
    <t xml:space="preserve">    •  3.3  Confirm/construct unified patient identifier</t>
  </si>
  <si>
    <t xml:space="preserve">    •  3.2  Exploratory data analysis &amp; KPI definition</t>
  </si>
  <si>
    <t xml:space="preserve">    •  3.1  Data quality assessment &amp; cleaning</t>
  </si>
  <si>
    <t>2.4; 2.5; 2.6; 2.7; 2.8; 2.9</t>
  </si>
  <si>
    <t xml:space="preserve">    •  2.10  Planning phase gate: baseline sign-off (scope, schedule, cost)</t>
  </si>
  <si>
    <t xml:space="preserve">    •  2.9  Expand Risk Register &amp; Dependency Register to full planning detail</t>
  </si>
  <si>
    <t xml:space="preserve">    •  2.8  Develop cost baseline / Project Budget</t>
  </si>
  <si>
    <t xml:space="preserve">    •  2.7  Develop Quality Management Plan</t>
  </si>
  <si>
    <t xml:space="preserve">    •  2.6  Develop Communication Plan</t>
  </si>
  <si>
    <t>1.4; 1.5</t>
  </si>
  <si>
    <t xml:space="preserve">    •  2.5  Develop Resource Management Plan</t>
  </si>
  <si>
    <t xml:space="preserve">    •  2.4  Conduct schedule risk analysis</t>
  </si>
  <si>
    <t xml:space="preserve">    •  2.3  Build network diagram &amp; critical path analysis</t>
  </si>
  <si>
    <t xml:space="preserve">    •  2.2  Develop project schedule (activity durations &amp; dependencies)</t>
  </si>
  <si>
    <t xml:space="preserve">    •  2.1  Develop Work Breakdown Structure</t>
  </si>
  <si>
    <t xml:space="preserve">    •  1.5  Confirm resourcing</t>
  </si>
  <si>
    <t xml:space="preserve">    •  1.4  Compile Stakeholder Register</t>
  </si>
  <si>
    <t>1.1; 1.2</t>
  </si>
  <si>
    <t xml:space="preserve">    •  1.3  Develop Project Charter &amp; obtain Sponsor sign-off</t>
  </si>
  <si>
    <t xml:space="preserve">    •  1.2  Review data resources &amp; confirm assumptions</t>
  </si>
  <si>
    <t xml:space="preserve">    •  1.1  Confirm business problem &amp; central question</t>
  </si>
  <si>
    <t>Depends On</t>
  </si>
  <si>
    <t>Key Activity</t>
  </si>
  <si>
    <t>31 Aug 2026 – 2027-03-17 (Initiating → Planning → Executing → Closing; December fully excluded). Each phase lists its key activities and closes with a milestone.</t>
  </si>
  <si>
    <t>HealthConnect No-Show Reduction Project : Stakeholder Register</t>
  </si>
  <si>
    <t>HealthConnect No-Show Reduction Project : Work Breakdown Structure</t>
  </si>
  <si>
    <t>HealthConnect No-Show Reduction Project : Risk Register</t>
  </si>
  <si>
    <t>HealthConnect No-Show Reduction Project : Dependency Register</t>
  </si>
  <si>
    <t>HealthConnect No-Show Reduction Project : Communication Plan</t>
  </si>
  <si>
    <t>HealthConnect No-Show Reduction Project : Detailed Timeline</t>
  </si>
  <si>
    <t>Phase 1 : Project Initiation
(2026-08-31 to 2026-09-15)</t>
  </si>
  <si>
    <t>:</t>
  </si>
  <si>
    <t>Phase 2 : Planning
(2026-09-16 to 2026-10-02)</t>
  </si>
  <si>
    <t>Phase 3 : Analysis &amp; Data Preparation
(2026-10-05 to 2026-10-14)</t>
  </si>
  <si>
    <t>Phase 4 : Solution Design
(2026-10-15 to 2026-10-28)</t>
  </si>
  <si>
    <t>Phase 5 : Model &amp; Assistant Development
(2026-10-29 to 2027-02-04)</t>
  </si>
  <si>
    <t>Phase 6 : Pilot Campaign
(2027-02-05 to 2027-02-19)</t>
  </si>
  <si>
    <t>Phase 7 : Testing, Deployment &amp; Monitoring
(2027-02-22 to 2027-03-10)</t>
  </si>
  <si>
    <t>Phase 8 : Operational Handover &amp; Closure
(2027-03-11 to 2027-03-17)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</si>
</sst>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sz val="10"/>
      <name val="Arial"/>
    </font>
    <font>
      <b/>
      <sz val="14"/>
      <color rgb="FF1F3864"/>
      <name val="Arial"/>
      <charset val="1"/>
    </font>
    <font>
      <i/>
      <sz val="10"/>
      <color rgb="FF595959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4"/>
      <color rgb="FF1F3864"/>
      <name val="Arial"/>
    </font>
    <font>
      <i/>
      <sz val="10"/>
      <color rgb="FF595959"/>
      <name val="Arial"/>
    </font>
    <font>
      <b/>
      <sz val="10"/>
      <color rgb="FFFFFFFF"/>
      <name val="Arial"/>
    </font>
    <font>
      <b/>
      <sz val="10"/>
      <name val="Arial"/>
    </font>
    <font>
      <sz val="10"/>
      <name val="Arial"/>
    </font>
    <font>
      <b/>
      <i/>
      <sz val="10"/>
      <color rgb="FFBF8F00"/>
      <name val="Arial"/>
    </font>
    <font>
      <b/>
      <sz val="11"/>
      <color theme="1"/>
      <name val="Calibri"/>
      <family val="2"/>
    </font>
    <font>
      <b/>
      <sz val="10"/>
      <color rgb="FFFFFFFF"/>
      <name val="Arial"/>
      <family val="2"/>
    </font>
    <font>
      <b/>
      <sz val="14"/>
      <color rgb="FF1F3864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1F3864"/>
      </patternFill>
    </fill>
    <fill>
      <patternFill patternType="solid">
        <fgColor rgb="FFDCE6F1"/>
      </patternFill>
    </fill>
    <fill>
      <patternFill patternType="solid">
        <fgColor rgb="FFF2F2F2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1" fillId="0" borderId="0"/>
  </cellStyleXfs>
  <cellXfs count="31">
    <xf numFmtId="0" fontId="0" fillId="0" borderId="0" xfId="0"/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top" wrapText="1"/>
    </xf>
    <xf numFmtId="0" fontId="6" fillId="3" borderId="1" xfId="0" applyFont="1" applyFill="1" applyBorder="1" applyAlignment="1">
      <alignment horizontal="left" vertical="top" wrapText="1"/>
    </xf>
    <xf numFmtId="0" fontId="7" fillId="0" borderId="0" xfId="0" applyFont="1"/>
    <xf numFmtId="0" fontId="6" fillId="0" borderId="1" xfId="0" applyFont="1" applyBorder="1" applyAlignment="1">
      <alignment horizontal="center" vertical="top"/>
    </xf>
    <xf numFmtId="0" fontId="6" fillId="3" borderId="1" xfId="0" applyFont="1" applyFill="1" applyBorder="1" applyAlignment="1">
      <alignment horizontal="center" vertical="top"/>
    </xf>
    <xf numFmtId="0" fontId="6" fillId="0" borderId="0" xfId="0" applyFont="1"/>
    <xf numFmtId="0" fontId="10" fillId="4" borderId="2" xfId="0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1" fillId="5" borderId="2" xfId="0" applyFont="1" applyFill="1" applyBorder="1"/>
    <xf numFmtId="0" fontId="4" fillId="0" borderId="0" xfId="0" applyFont="1"/>
    <xf numFmtId="0" fontId="0" fillId="0" borderId="0" xfId="0"/>
    <xf numFmtId="0" fontId="3" fillId="0" borderId="0" xfId="0" applyFont="1" applyAlignment="1">
      <alignment horizontal="left" vertical="center"/>
    </xf>
    <xf numFmtId="0" fontId="9" fillId="0" borderId="0" xfId="0" applyFont="1"/>
    <xf numFmtId="0" fontId="8" fillId="0" borderId="0" xfId="0" applyFont="1"/>
    <xf numFmtId="0" fontId="1" fillId="0" borderId="0" xfId="1"/>
    <xf numFmtId="0" fontId="13" fillId="7" borderId="2" xfId="1" applyFont="1" applyFill="1" applyBorder="1" applyAlignment="1">
      <alignment horizontal="left" vertical="top" wrapText="1"/>
    </xf>
    <xf numFmtId="0" fontId="1" fillId="0" borderId="2" xfId="1" applyBorder="1"/>
    <xf numFmtId="0" fontId="2" fillId="0" borderId="2" xfId="1" applyFont="1" applyBorder="1" applyAlignment="1">
      <alignment horizontal="left" vertical="top" wrapText="1"/>
    </xf>
    <xf numFmtId="0" fontId="10" fillId="4" borderId="2" xfId="1" applyFont="1" applyFill="1" applyBorder="1" applyAlignment="1">
      <alignment horizontal="center" vertical="center" wrapText="1"/>
    </xf>
    <xf numFmtId="0" fontId="2" fillId="6" borderId="2" xfId="1" applyFont="1" applyFill="1" applyBorder="1" applyAlignment="1">
      <alignment horizontal="left" vertical="top" wrapText="1"/>
    </xf>
    <xf numFmtId="0" fontId="10" fillId="4" borderId="2" xfId="1" applyFont="1" applyFill="1" applyBorder="1" applyAlignment="1">
      <alignment horizontal="center" vertical="center" wrapText="1"/>
    </xf>
    <xf numFmtId="0" fontId="1" fillId="0" borderId="0" xfId="1"/>
    <xf numFmtId="0" fontId="9" fillId="0" borderId="0" xfId="1" applyFont="1"/>
    <xf numFmtId="0" fontId="14" fillId="0" borderId="0" xfId="0" applyFont="1"/>
    <xf numFmtId="0" fontId="15" fillId="2" borderId="1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left" vertical="center"/>
    </xf>
    <xf numFmtId="0" fontId="16" fillId="0" borderId="0" xfId="1" applyFont="1"/>
    <xf numFmtId="0" fontId="15" fillId="4" borderId="2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5007FA31-1039-41AD-94FE-9448311DCE31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6"/>
  <sheetViews>
    <sheetView tabSelected="1" zoomScaleNormal="100" workbookViewId="0">
      <pane ySplit="4" topLeftCell="A11" activePane="bottomLeft" state="frozen"/>
      <selection pane="bottomLeft" activeCell="A16" sqref="A16"/>
    </sheetView>
  </sheetViews>
  <sheetFormatPr defaultColWidth="8.6640625" defaultRowHeight="14.4" x14ac:dyDescent="0.3"/>
  <cols>
    <col min="1" max="1" width="34" customWidth="1"/>
    <col min="2" max="2" width="15" customWidth="1"/>
    <col min="3" max="4" width="12" customWidth="1"/>
    <col min="5" max="5" width="55" customWidth="1"/>
    <col min="6" max="6" width="22" customWidth="1"/>
  </cols>
  <sheetData>
    <row r="1" spans="1:6" ht="21.75" customHeight="1" x14ac:dyDescent="0.3">
      <c r="A1" s="14" t="s">
        <v>505</v>
      </c>
      <c r="B1" s="13"/>
      <c r="C1" s="13"/>
      <c r="D1" s="13"/>
      <c r="E1" s="13"/>
      <c r="F1" s="13"/>
    </row>
    <row r="2" spans="1:6" ht="15.75" customHeight="1" x14ac:dyDescent="0.3">
      <c r="A2" s="12" t="s">
        <v>0</v>
      </c>
      <c r="B2" s="13"/>
      <c r="C2" s="13"/>
      <c r="D2" s="13"/>
      <c r="E2" s="13"/>
      <c r="F2" s="13"/>
    </row>
    <row r="4" spans="1:6" ht="23.85" customHeight="1" x14ac:dyDescent="0.3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</row>
    <row r="5" spans="1:6" ht="26.4" x14ac:dyDescent="0.3">
      <c r="A5" s="2" t="s">
        <v>7</v>
      </c>
      <c r="B5" s="2" t="s">
        <v>8</v>
      </c>
      <c r="C5" s="2" t="s">
        <v>8</v>
      </c>
      <c r="D5" s="2" t="s">
        <v>8</v>
      </c>
      <c r="E5" s="2" t="s">
        <v>9</v>
      </c>
      <c r="F5" s="2" t="s">
        <v>10</v>
      </c>
    </row>
    <row r="6" spans="1:6" ht="26.4" x14ac:dyDescent="0.3">
      <c r="A6" s="3" t="s">
        <v>11</v>
      </c>
      <c r="B6" s="3" t="s">
        <v>12</v>
      </c>
      <c r="C6" s="3" t="s">
        <v>8</v>
      </c>
      <c r="D6" s="3" t="s">
        <v>12</v>
      </c>
      <c r="E6" s="3" t="s">
        <v>13</v>
      </c>
      <c r="F6" s="3" t="s">
        <v>14</v>
      </c>
    </row>
    <row r="7" spans="1:6" ht="26.4" x14ac:dyDescent="0.3">
      <c r="A7" s="2" t="s">
        <v>15</v>
      </c>
      <c r="B7" s="2" t="s">
        <v>8</v>
      </c>
      <c r="C7" s="2" t="s">
        <v>8</v>
      </c>
      <c r="D7" s="2" t="s">
        <v>8</v>
      </c>
      <c r="E7" s="2" t="s">
        <v>16</v>
      </c>
      <c r="F7" s="2" t="s">
        <v>10</v>
      </c>
    </row>
    <row r="8" spans="1:6" ht="26.4" x14ac:dyDescent="0.3">
      <c r="A8" s="3" t="s">
        <v>17</v>
      </c>
      <c r="B8" s="3" t="s">
        <v>8</v>
      </c>
      <c r="C8" s="3" t="s">
        <v>12</v>
      </c>
      <c r="D8" s="3" t="s">
        <v>8</v>
      </c>
      <c r="E8" s="3" t="s">
        <v>18</v>
      </c>
      <c r="F8" s="3" t="s">
        <v>10</v>
      </c>
    </row>
    <row r="9" spans="1:6" ht="26.4" x14ac:dyDescent="0.3">
      <c r="A9" s="2" t="s">
        <v>19</v>
      </c>
      <c r="B9" s="2" t="s">
        <v>8</v>
      </c>
      <c r="C9" s="2" t="s">
        <v>12</v>
      </c>
      <c r="D9" s="2" t="s">
        <v>8</v>
      </c>
      <c r="E9" s="2" t="s">
        <v>20</v>
      </c>
      <c r="F9" s="2" t="s">
        <v>10</v>
      </c>
    </row>
    <row r="10" spans="1:6" ht="26.4" x14ac:dyDescent="0.3">
      <c r="A10" s="3" t="s">
        <v>21</v>
      </c>
      <c r="B10" s="3" t="s">
        <v>8</v>
      </c>
      <c r="C10" s="3" t="s">
        <v>12</v>
      </c>
      <c r="D10" s="3" t="s">
        <v>8</v>
      </c>
      <c r="E10" s="3" t="s">
        <v>22</v>
      </c>
      <c r="F10" s="3" t="s">
        <v>10</v>
      </c>
    </row>
    <row r="11" spans="1:6" ht="26.4" x14ac:dyDescent="0.3">
      <c r="A11" s="2" t="s">
        <v>23</v>
      </c>
      <c r="B11" s="2" t="s">
        <v>8</v>
      </c>
      <c r="C11" s="2" t="s">
        <v>24</v>
      </c>
      <c r="D11" s="2" t="s">
        <v>12</v>
      </c>
      <c r="E11" s="2" t="s">
        <v>25</v>
      </c>
      <c r="F11" s="2" t="s">
        <v>26</v>
      </c>
    </row>
    <row r="12" spans="1:6" ht="26.4" x14ac:dyDescent="0.3">
      <c r="A12" s="3" t="s">
        <v>27</v>
      </c>
      <c r="B12" s="3" t="s">
        <v>8</v>
      </c>
      <c r="C12" s="3" t="s">
        <v>24</v>
      </c>
      <c r="D12" s="3" t="s">
        <v>12</v>
      </c>
      <c r="E12" s="3" t="s">
        <v>28</v>
      </c>
      <c r="F12" s="3" t="s">
        <v>26</v>
      </c>
    </row>
    <row r="13" spans="1:6" ht="26.4" x14ac:dyDescent="0.3">
      <c r="A13" s="2" t="s">
        <v>29</v>
      </c>
      <c r="B13" s="2" t="s">
        <v>12</v>
      </c>
      <c r="C13" s="2" t="s">
        <v>12</v>
      </c>
      <c r="D13" s="2" t="s">
        <v>8</v>
      </c>
      <c r="E13" s="2" t="s">
        <v>30</v>
      </c>
      <c r="F13" s="2" t="s">
        <v>26</v>
      </c>
    </row>
    <row r="14" spans="1:6" ht="23.85" customHeight="1" x14ac:dyDescent="0.3">
      <c r="A14" s="3" t="s">
        <v>31</v>
      </c>
      <c r="B14" s="3" t="s">
        <v>12</v>
      </c>
      <c r="C14" s="3" t="s">
        <v>12</v>
      </c>
      <c r="D14" s="3" t="s">
        <v>12</v>
      </c>
      <c r="E14" s="3" t="s">
        <v>32</v>
      </c>
      <c r="F14" s="3" t="s">
        <v>26</v>
      </c>
    </row>
    <row r="15" spans="1:6" ht="26.4" x14ac:dyDescent="0.3">
      <c r="A15" s="2" t="s">
        <v>33</v>
      </c>
      <c r="B15" s="2" t="s">
        <v>8</v>
      </c>
      <c r="C15" s="2" t="s">
        <v>24</v>
      </c>
      <c r="D15" s="2" t="s">
        <v>8</v>
      </c>
      <c r="E15" s="2" t="s">
        <v>34</v>
      </c>
      <c r="F15" s="2" t="s">
        <v>35</v>
      </c>
    </row>
    <row r="16" spans="1:6" ht="26.4" x14ac:dyDescent="0.3">
      <c r="A16" s="3" t="s">
        <v>36</v>
      </c>
      <c r="B16" s="3" t="s">
        <v>24</v>
      </c>
      <c r="C16" s="3" t="s">
        <v>12</v>
      </c>
      <c r="D16" s="3" t="s">
        <v>12</v>
      </c>
      <c r="E16" s="3" t="s">
        <v>37</v>
      </c>
      <c r="F16" s="3" t="s">
        <v>14</v>
      </c>
    </row>
  </sheetData>
  <autoFilter ref="A4:F16" xr:uid="{00000000-0009-0000-0000-000000000000}"/>
  <mergeCells count="2">
    <mergeCell ref="A2:F2"/>
    <mergeCell ref="A1:F1"/>
  </mergeCells>
  <pageMargins left="0.4" right="0.4" top="0.5" bottom="0.5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58"/>
  <sheetViews>
    <sheetView workbookViewId="0">
      <pane ySplit="4" topLeftCell="A49" activePane="bottomLeft" state="frozen"/>
      <selection pane="bottomLeft" sqref="A1:G1"/>
    </sheetView>
  </sheetViews>
  <sheetFormatPr defaultRowHeight="14.4" x14ac:dyDescent="0.3"/>
  <cols>
    <col min="1" max="1" width="8" customWidth="1"/>
    <col min="2" max="2" width="40" customWidth="1"/>
    <col min="3" max="3" width="42" customWidth="1"/>
    <col min="4" max="5" width="12" customWidth="1"/>
    <col min="6" max="6" width="26" customWidth="1"/>
    <col min="7" max="7" width="44" customWidth="1"/>
  </cols>
  <sheetData>
    <row r="1" spans="1:7" ht="22.05" customHeight="1" x14ac:dyDescent="0.3">
      <c r="A1" s="16" t="s">
        <v>506</v>
      </c>
      <c r="B1" s="13"/>
      <c r="C1" s="13"/>
      <c r="D1" s="13"/>
      <c r="E1" s="13"/>
      <c r="F1" s="13"/>
      <c r="G1" s="13"/>
    </row>
    <row r="2" spans="1:7" ht="16.05" customHeight="1" x14ac:dyDescent="0.3">
      <c r="A2" s="15" t="s">
        <v>38</v>
      </c>
      <c r="B2" s="13"/>
      <c r="C2" s="13"/>
      <c r="D2" s="13"/>
      <c r="E2" s="13"/>
      <c r="F2" s="13"/>
      <c r="G2" s="13"/>
    </row>
    <row r="4" spans="1:7" x14ac:dyDescent="0.3">
      <c r="A4" s="8" t="s">
        <v>39</v>
      </c>
      <c r="B4" s="8" t="s">
        <v>40</v>
      </c>
      <c r="C4" s="8" t="s">
        <v>41</v>
      </c>
      <c r="D4" s="8" t="s">
        <v>42</v>
      </c>
      <c r="E4" s="8" t="s">
        <v>43</v>
      </c>
      <c r="F4" s="8" t="s">
        <v>44</v>
      </c>
      <c r="G4" s="8" t="s">
        <v>45</v>
      </c>
    </row>
    <row r="5" spans="1:7" x14ac:dyDescent="0.3">
      <c r="A5" s="9" t="s">
        <v>46</v>
      </c>
      <c r="B5" s="9" t="s">
        <v>47</v>
      </c>
      <c r="C5" s="9" t="s">
        <v>48</v>
      </c>
      <c r="D5" s="9" t="s">
        <v>49</v>
      </c>
      <c r="E5" s="9" t="s">
        <v>50</v>
      </c>
      <c r="F5" s="9" t="s">
        <v>51</v>
      </c>
      <c r="G5" s="9"/>
    </row>
    <row r="6" spans="1:7" ht="26.4" x14ac:dyDescent="0.3">
      <c r="A6" s="10" t="s">
        <v>52</v>
      </c>
      <c r="B6" s="10" t="s">
        <v>53</v>
      </c>
      <c r="C6" s="10" t="s">
        <v>54</v>
      </c>
      <c r="D6" s="10" t="s">
        <v>49</v>
      </c>
      <c r="E6" s="10" t="s">
        <v>55</v>
      </c>
      <c r="F6" s="10" t="s">
        <v>56</v>
      </c>
      <c r="G6" s="10" t="s">
        <v>57</v>
      </c>
    </row>
    <row r="7" spans="1:7" ht="39.6" x14ac:dyDescent="0.3">
      <c r="A7" s="10" t="s">
        <v>58</v>
      </c>
      <c r="B7" s="10" t="s">
        <v>59</v>
      </c>
      <c r="C7" s="10" t="s">
        <v>60</v>
      </c>
      <c r="D7" s="10" t="s">
        <v>49</v>
      </c>
      <c r="E7" s="10" t="s">
        <v>55</v>
      </c>
      <c r="F7" s="10" t="s">
        <v>56</v>
      </c>
      <c r="G7" s="10" t="s">
        <v>57</v>
      </c>
    </row>
    <row r="8" spans="1:7" ht="39.6" x14ac:dyDescent="0.3">
      <c r="A8" s="10" t="s">
        <v>61</v>
      </c>
      <c r="B8" s="10" t="s">
        <v>62</v>
      </c>
      <c r="C8" s="10" t="s">
        <v>63</v>
      </c>
      <c r="D8" s="10" t="s">
        <v>64</v>
      </c>
      <c r="E8" s="10" t="s">
        <v>65</v>
      </c>
      <c r="F8" s="10" t="s">
        <v>56</v>
      </c>
      <c r="G8" s="10" t="s">
        <v>66</v>
      </c>
    </row>
    <row r="9" spans="1:7" ht="26.4" x14ac:dyDescent="0.3">
      <c r="A9" s="10" t="s">
        <v>67</v>
      </c>
      <c r="B9" s="10" t="s">
        <v>68</v>
      </c>
      <c r="C9" s="10" t="s">
        <v>69</v>
      </c>
      <c r="D9" s="10" t="s">
        <v>70</v>
      </c>
      <c r="E9" s="10" t="s">
        <v>50</v>
      </c>
      <c r="F9" s="10" t="s">
        <v>56</v>
      </c>
      <c r="G9" s="10" t="s">
        <v>71</v>
      </c>
    </row>
    <row r="10" spans="1:7" ht="39.6" x14ac:dyDescent="0.3">
      <c r="A10" s="10" t="s">
        <v>72</v>
      </c>
      <c r="B10" s="10" t="s">
        <v>73</v>
      </c>
      <c r="C10" s="10" t="s">
        <v>74</v>
      </c>
      <c r="D10" s="10" t="s">
        <v>70</v>
      </c>
      <c r="E10" s="10" t="s">
        <v>50</v>
      </c>
      <c r="F10" s="10" t="s">
        <v>56</v>
      </c>
      <c r="G10" s="10" t="s">
        <v>71</v>
      </c>
    </row>
    <row r="11" spans="1:7" x14ac:dyDescent="0.3">
      <c r="A11" s="9" t="s">
        <v>75</v>
      </c>
      <c r="B11" s="9" t="s">
        <v>76</v>
      </c>
      <c r="C11" s="9" t="s">
        <v>48</v>
      </c>
      <c r="D11" s="9" t="s">
        <v>77</v>
      </c>
      <c r="E11" s="9" t="s">
        <v>78</v>
      </c>
      <c r="F11" s="9" t="s">
        <v>51</v>
      </c>
      <c r="G11" s="9"/>
    </row>
    <row r="12" spans="1:7" ht="26.4" x14ac:dyDescent="0.3">
      <c r="A12" s="10" t="s">
        <v>79</v>
      </c>
      <c r="B12" s="10" t="s">
        <v>80</v>
      </c>
      <c r="C12" s="10" t="s">
        <v>81</v>
      </c>
      <c r="D12" s="10" t="s">
        <v>77</v>
      </c>
      <c r="E12" s="10" t="s">
        <v>82</v>
      </c>
      <c r="F12" s="10" t="s">
        <v>56</v>
      </c>
      <c r="G12" s="10" t="s">
        <v>83</v>
      </c>
    </row>
    <row r="13" spans="1:7" ht="26.4" x14ac:dyDescent="0.3">
      <c r="A13" s="10" t="s">
        <v>84</v>
      </c>
      <c r="B13" s="10" t="s">
        <v>85</v>
      </c>
      <c r="C13" s="10" t="s">
        <v>86</v>
      </c>
      <c r="D13" s="10" t="s">
        <v>87</v>
      </c>
      <c r="E13" s="10" t="s">
        <v>88</v>
      </c>
      <c r="F13" s="10" t="s">
        <v>56</v>
      </c>
      <c r="G13" s="10" t="s">
        <v>89</v>
      </c>
    </row>
    <row r="14" spans="1:7" ht="26.4" x14ac:dyDescent="0.3">
      <c r="A14" s="10" t="s">
        <v>90</v>
      </c>
      <c r="B14" s="10" t="s">
        <v>91</v>
      </c>
      <c r="C14" s="10" t="s">
        <v>92</v>
      </c>
      <c r="D14" s="10" t="s">
        <v>93</v>
      </c>
      <c r="E14" s="10" t="s">
        <v>94</v>
      </c>
      <c r="F14" s="10" t="s">
        <v>56</v>
      </c>
      <c r="G14" s="10" t="s">
        <v>95</v>
      </c>
    </row>
    <row r="15" spans="1:7" ht="26.4" x14ac:dyDescent="0.3">
      <c r="A15" s="10" t="s">
        <v>96</v>
      </c>
      <c r="B15" s="10" t="s">
        <v>97</v>
      </c>
      <c r="C15" s="10" t="s">
        <v>98</v>
      </c>
      <c r="D15" s="10" t="s">
        <v>99</v>
      </c>
      <c r="E15" s="10" t="s">
        <v>100</v>
      </c>
      <c r="F15" s="10" t="s">
        <v>56</v>
      </c>
      <c r="G15" s="10" t="s">
        <v>101</v>
      </c>
    </row>
    <row r="16" spans="1:7" ht="26.4" x14ac:dyDescent="0.3">
      <c r="A16" s="10" t="s">
        <v>102</v>
      </c>
      <c r="B16" s="10" t="s">
        <v>103</v>
      </c>
      <c r="C16" s="10" t="s">
        <v>104</v>
      </c>
      <c r="D16" s="10" t="s">
        <v>77</v>
      </c>
      <c r="E16" s="10" t="s">
        <v>82</v>
      </c>
      <c r="F16" s="10" t="s">
        <v>56</v>
      </c>
      <c r="G16" s="10" t="s">
        <v>83</v>
      </c>
    </row>
    <row r="17" spans="1:7" ht="26.4" x14ac:dyDescent="0.3">
      <c r="A17" s="10" t="s">
        <v>105</v>
      </c>
      <c r="B17" s="10" t="s">
        <v>106</v>
      </c>
      <c r="C17" s="10" t="s">
        <v>107</v>
      </c>
      <c r="D17" s="10" t="s">
        <v>77</v>
      </c>
      <c r="E17" s="10" t="s">
        <v>108</v>
      </c>
      <c r="F17" s="10" t="s">
        <v>56</v>
      </c>
      <c r="G17" s="10" t="s">
        <v>109</v>
      </c>
    </row>
    <row r="18" spans="1:7" ht="26.4" x14ac:dyDescent="0.3">
      <c r="A18" s="10" t="s">
        <v>110</v>
      </c>
      <c r="B18" s="10" t="s">
        <v>111</v>
      </c>
      <c r="C18" s="10" t="s">
        <v>112</v>
      </c>
      <c r="D18" s="10" t="s">
        <v>70</v>
      </c>
      <c r="E18" s="10" t="s">
        <v>50</v>
      </c>
      <c r="F18" s="10" t="s">
        <v>56</v>
      </c>
      <c r="G18" s="10" t="s">
        <v>71</v>
      </c>
    </row>
    <row r="19" spans="1:7" ht="26.4" x14ac:dyDescent="0.3">
      <c r="A19" s="10" t="s">
        <v>113</v>
      </c>
      <c r="B19" s="10" t="s">
        <v>114</v>
      </c>
      <c r="C19" s="10" t="s">
        <v>115</v>
      </c>
      <c r="D19" s="10" t="s">
        <v>93</v>
      </c>
      <c r="E19" s="10" t="s">
        <v>99</v>
      </c>
      <c r="F19" s="10" t="s">
        <v>56</v>
      </c>
      <c r="G19" s="10" t="s">
        <v>95</v>
      </c>
    </row>
    <row r="20" spans="1:7" ht="39.6" x14ac:dyDescent="0.3">
      <c r="A20" s="10" t="s">
        <v>116</v>
      </c>
      <c r="B20" s="10" t="s">
        <v>117</v>
      </c>
      <c r="C20" s="10" t="s">
        <v>118</v>
      </c>
      <c r="D20" s="10" t="s">
        <v>119</v>
      </c>
      <c r="E20" s="10" t="s">
        <v>120</v>
      </c>
      <c r="F20" s="10" t="s">
        <v>56</v>
      </c>
      <c r="G20" s="10" t="s">
        <v>121</v>
      </c>
    </row>
    <row r="21" spans="1:7" ht="79.2" x14ac:dyDescent="0.3">
      <c r="A21" s="10" t="s">
        <v>122</v>
      </c>
      <c r="B21" s="10" t="s">
        <v>123</v>
      </c>
      <c r="C21" s="10" t="s">
        <v>124</v>
      </c>
      <c r="D21" s="10" t="s">
        <v>78</v>
      </c>
      <c r="E21" s="10" t="s">
        <v>78</v>
      </c>
      <c r="F21" s="10" t="s">
        <v>125</v>
      </c>
      <c r="G21" s="10" t="s">
        <v>126</v>
      </c>
    </row>
    <row r="22" spans="1:7" x14ac:dyDescent="0.3">
      <c r="A22" s="9" t="s">
        <v>127</v>
      </c>
      <c r="B22" s="9" t="s">
        <v>128</v>
      </c>
      <c r="C22" s="9" t="s">
        <v>48</v>
      </c>
      <c r="D22" s="9" t="s">
        <v>129</v>
      </c>
      <c r="E22" s="9" t="s">
        <v>130</v>
      </c>
      <c r="F22" s="9" t="s">
        <v>51</v>
      </c>
      <c r="G22" s="9"/>
    </row>
    <row r="23" spans="1:7" ht="26.4" x14ac:dyDescent="0.3">
      <c r="A23" s="10" t="s">
        <v>131</v>
      </c>
      <c r="B23" s="10" t="s">
        <v>132</v>
      </c>
      <c r="C23" s="10" t="s">
        <v>133</v>
      </c>
      <c r="D23" s="10" t="s">
        <v>129</v>
      </c>
      <c r="E23" s="10" t="s">
        <v>134</v>
      </c>
      <c r="F23" s="10" t="s">
        <v>19</v>
      </c>
      <c r="G23" s="10" t="s">
        <v>135</v>
      </c>
    </row>
    <row r="24" spans="1:7" ht="26.4" x14ac:dyDescent="0.3">
      <c r="A24" s="10" t="s">
        <v>136</v>
      </c>
      <c r="B24" s="10" t="s">
        <v>137</v>
      </c>
      <c r="C24" s="10" t="s">
        <v>138</v>
      </c>
      <c r="D24" s="10" t="s">
        <v>129</v>
      </c>
      <c r="E24" s="10" t="s">
        <v>134</v>
      </c>
      <c r="F24" s="10" t="s">
        <v>21</v>
      </c>
      <c r="G24" s="10" t="s">
        <v>135</v>
      </c>
    </row>
    <row r="25" spans="1:7" ht="26.4" x14ac:dyDescent="0.3">
      <c r="A25" s="10" t="s">
        <v>139</v>
      </c>
      <c r="B25" s="10" t="s">
        <v>140</v>
      </c>
      <c r="C25" s="10" t="s">
        <v>141</v>
      </c>
      <c r="D25" s="10" t="s">
        <v>129</v>
      </c>
      <c r="E25" s="10" t="s">
        <v>134</v>
      </c>
      <c r="F25" s="10" t="s">
        <v>19</v>
      </c>
      <c r="G25" s="10" t="s">
        <v>135</v>
      </c>
    </row>
    <row r="26" spans="1:7" ht="52.8" x14ac:dyDescent="0.3">
      <c r="A26" s="10" t="s">
        <v>142</v>
      </c>
      <c r="B26" s="10" t="s">
        <v>143</v>
      </c>
      <c r="C26" s="10" t="s">
        <v>144</v>
      </c>
      <c r="D26" s="10" t="s">
        <v>145</v>
      </c>
      <c r="E26" s="10" t="s">
        <v>130</v>
      </c>
      <c r="F26" s="10" t="s">
        <v>21</v>
      </c>
      <c r="G26" s="10" t="s">
        <v>146</v>
      </c>
    </row>
    <row r="27" spans="1:7" x14ac:dyDescent="0.3">
      <c r="A27" s="9" t="s">
        <v>147</v>
      </c>
      <c r="B27" s="9" t="s">
        <v>148</v>
      </c>
      <c r="C27" s="9" t="s">
        <v>48</v>
      </c>
      <c r="D27" s="9" t="s">
        <v>149</v>
      </c>
      <c r="E27" s="9" t="s">
        <v>150</v>
      </c>
      <c r="F27" s="9" t="s">
        <v>51</v>
      </c>
      <c r="G27" s="9"/>
    </row>
    <row r="28" spans="1:7" ht="26.4" x14ac:dyDescent="0.3">
      <c r="A28" s="10" t="s">
        <v>151</v>
      </c>
      <c r="B28" s="10" t="s">
        <v>152</v>
      </c>
      <c r="C28" s="10" t="s">
        <v>153</v>
      </c>
      <c r="D28" s="10" t="s">
        <v>149</v>
      </c>
      <c r="E28" s="10" t="s">
        <v>154</v>
      </c>
      <c r="F28" s="10" t="s">
        <v>21</v>
      </c>
      <c r="G28" s="10" t="s">
        <v>155</v>
      </c>
    </row>
    <row r="29" spans="1:7" ht="26.4" x14ac:dyDescent="0.3">
      <c r="A29" s="10" t="s">
        <v>156</v>
      </c>
      <c r="B29" s="10" t="s">
        <v>157</v>
      </c>
      <c r="C29" s="10" t="s">
        <v>158</v>
      </c>
      <c r="D29" s="10" t="s">
        <v>149</v>
      </c>
      <c r="E29" s="10" t="s">
        <v>154</v>
      </c>
      <c r="F29" s="10" t="s">
        <v>21</v>
      </c>
      <c r="G29" s="10" t="s">
        <v>155</v>
      </c>
    </row>
    <row r="30" spans="1:7" ht="26.4" x14ac:dyDescent="0.3">
      <c r="A30" s="10" t="s">
        <v>159</v>
      </c>
      <c r="B30" s="10" t="s">
        <v>160</v>
      </c>
      <c r="C30" s="10" t="s">
        <v>161</v>
      </c>
      <c r="D30" s="10" t="s">
        <v>162</v>
      </c>
      <c r="E30" s="10" t="s">
        <v>163</v>
      </c>
      <c r="F30" s="10" t="s">
        <v>164</v>
      </c>
      <c r="G30" s="10" t="s">
        <v>165</v>
      </c>
    </row>
    <row r="31" spans="1:7" ht="26.4" x14ac:dyDescent="0.3">
      <c r="A31" s="10" t="s">
        <v>166</v>
      </c>
      <c r="B31" s="10" t="s">
        <v>167</v>
      </c>
      <c r="C31" s="10" t="s">
        <v>168</v>
      </c>
      <c r="D31" s="10" t="s">
        <v>162</v>
      </c>
      <c r="E31" s="10" t="s">
        <v>163</v>
      </c>
      <c r="F31" s="10" t="s">
        <v>27</v>
      </c>
      <c r="G31" s="10" t="s">
        <v>165</v>
      </c>
    </row>
    <row r="32" spans="1:7" ht="26.4" x14ac:dyDescent="0.3">
      <c r="A32" s="10" t="s">
        <v>169</v>
      </c>
      <c r="B32" s="10" t="s">
        <v>170</v>
      </c>
      <c r="C32" s="10" t="s">
        <v>171</v>
      </c>
      <c r="D32" s="10" t="s">
        <v>162</v>
      </c>
      <c r="E32" s="10" t="s">
        <v>163</v>
      </c>
      <c r="F32" s="10" t="s">
        <v>19</v>
      </c>
      <c r="G32" s="10" t="s">
        <v>165</v>
      </c>
    </row>
    <row r="33" spans="1:7" ht="39.6" x14ac:dyDescent="0.3">
      <c r="A33" s="10" t="s">
        <v>172</v>
      </c>
      <c r="B33" s="10" t="s">
        <v>173</v>
      </c>
      <c r="C33" s="10" t="s">
        <v>174</v>
      </c>
      <c r="D33" s="10" t="s">
        <v>150</v>
      </c>
      <c r="E33" s="10" t="s">
        <v>150</v>
      </c>
      <c r="F33" s="10" t="s">
        <v>125</v>
      </c>
      <c r="G33" s="10" t="s">
        <v>175</v>
      </c>
    </row>
    <row r="34" spans="1:7" x14ac:dyDescent="0.3">
      <c r="A34" s="9" t="s">
        <v>176</v>
      </c>
      <c r="B34" s="9" t="s">
        <v>177</v>
      </c>
      <c r="C34" s="9" t="s">
        <v>48</v>
      </c>
      <c r="D34" s="9" t="s">
        <v>178</v>
      </c>
      <c r="E34" s="9" t="s">
        <v>179</v>
      </c>
      <c r="F34" s="9" t="s">
        <v>51</v>
      </c>
      <c r="G34" s="9"/>
    </row>
    <row r="35" spans="1:7" ht="26.4" x14ac:dyDescent="0.3">
      <c r="A35" s="10" t="s">
        <v>180</v>
      </c>
      <c r="B35" s="10" t="s">
        <v>181</v>
      </c>
      <c r="C35" s="10" t="s">
        <v>182</v>
      </c>
      <c r="D35" s="10" t="s">
        <v>178</v>
      </c>
      <c r="E35" s="10" t="s">
        <v>183</v>
      </c>
      <c r="F35" s="10" t="s">
        <v>21</v>
      </c>
      <c r="G35" s="10" t="s">
        <v>184</v>
      </c>
    </row>
    <row r="36" spans="1:7" ht="26.4" x14ac:dyDescent="0.3">
      <c r="A36" s="10" t="s">
        <v>185</v>
      </c>
      <c r="B36" s="10" t="s">
        <v>186</v>
      </c>
      <c r="C36" s="10" t="s">
        <v>187</v>
      </c>
      <c r="D36" s="10" t="s">
        <v>178</v>
      </c>
      <c r="E36" s="10" t="s">
        <v>188</v>
      </c>
      <c r="F36" s="10" t="s">
        <v>19</v>
      </c>
      <c r="G36" s="10" t="s">
        <v>184</v>
      </c>
    </row>
    <row r="37" spans="1:7" ht="26.4" x14ac:dyDescent="0.3">
      <c r="A37" s="10" t="s">
        <v>189</v>
      </c>
      <c r="B37" s="10" t="s">
        <v>190</v>
      </c>
      <c r="C37" s="10" t="s">
        <v>191</v>
      </c>
      <c r="D37" s="10" t="s">
        <v>192</v>
      </c>
      <c r="E37" s="10" t="s">
        <v>183</v>
      </c>
      <c r="F37" s="10" t="s">
        <v>164</v>
      </c>
      <c r="G37" s="10" t="s">
        <v>193</v>
      </c>
    </row>
    <row r="38" spans="1:7" ht="26.4" x14ac:dyDescent="0.3">
      <c r="A38" s="10" t="s">
        <v>194</v>
      </c>
      <c r="B38" s="10" t="s">
        <v>195</v>
      </c>
      <c r="C38" s="10" t="s">
        <v>196</v>
      </c>
      <c r="D38" s="10" t="s">
        <v>178</v>
      </c>
      <c r="E38" s="10" t="s">
        <v>197</v>
      </c>
      <c r="F38" s="10" t="s">
        <v>27</v>
      </c>
      <c r="G38" s="10" t="s">
        <v>184</v>
      </c>
    </row>
    <row r="39" spans="1:7" x14ac:dyDescent="0.3">
      <c r="A39" s="10" t="s">
        <v>198</v>
      </c>
      <c r="B39" s="10" t="s">
        <v>199</v>
      </c>
      <c r="C39" s="10" t="s">
        <v>200</v>
      </c>
      <c r="D39" s="10" t="s">
        <v>192</v>
      </c>
      <c r="E39" s="10" t="s">
        <v>201</v>
      </c>
      <c r="F39" s="10" t="s">
        <v>19</v>
      </c>
      <c r="G39" s="10" t="s">
        <v>193</v>
      </c>
    </row>
    <row r="40" spans="1:7" ht="52.8" x14ac:dyDescent="0.3">
      <c r="A40" s="10" t="s">
        <v>202</v>
      </c>
      <c r="B40" s="10" t="s">
        <v>203</v>
      </c>
      <c r="C40" s="10" t="s">
        <v>204</v>
      </c>
      <c r="D40" s="10" t="s">
        <v>179</v>
      </c>
      <c r="E40" s="10" t="s">
        <v>179</v>
      </c>
      <c r="F40" s="10" t="s">
        <v>56</v>
      </c>
      <c r="G40" s="10" t="s">
        <v>205</v>
      </c>
    </row>
    <row r="41" spans="1:7" x14ac:dyDescent="0.3">
      <c r="A41" s="9" t="s">
        <v>206</v>
      </c>
      <c r="B41" s="9" t="s">
        <v>207</v>
      </c>
      <c r="C41" s="9" t="s">
        <v>48</v>
      </c>
      <c r="D41" s="9" t="s">
        <v>208</v>
      </c>
      <c r="E41" s="9" t="s">
        <v>209</v>
      </c>
      <c r="F41" s="9" t="s">
        <v>51</v>
      </c>
      <c r="G41" s="9"/>
    </row>
    <row r="42" spans="1:7" ht="26.4" x14ac:dyDescent="0.3">
      <c r="A42" s="10" t="s">
        <v>210</v>
      </c>
      <c r="B42" s="10" t="s">
        <v>211</v>
      </c>
      <c r="C42" s="10" t="s">
        <v>212</v>
      </c>
      <c r="D42" s="10" t="s">
        <v>208</v>
      </c>
      <c r="E42" s="10" t="s">
        <v>213</v>
      </c>
      <c r="F42" s="10" t="s">
        <v>214</v>
      </c>
      <c r="G42" s="10" t="s">
        <v>215</v>
      </c>
    </row>
    <row r="43" spans="1:7" ht="26.4" x14ac:dyDescent="0.3">
      <c r="A43" s="10" t="s">
        <v>216</v>
      </c>
      <c r="B43" s="10" t="s">
        <v>217</v>
      </c>
      <c r="C43" s="10" t="s">
        <v>218</v>
      </c>
      <c r="D43" s="10" t="s">
        <v>219</v>
      </c>
      <c r="E43" s="10" t="s">
        <v>220</v>
      </c>
      <c r="F43" s="10" t="s">
        <v>56</v>
      </c>
      <c r="G43" s="10" t="s">
        <v>221</v>
      </c>
    </row>
    <row r="44" spans="1:7" ht="26.4" x14ac:dyDescent="0.3">
      <c r="A44" s="10" t="s">
        <v>222</v>
      </c>
      <c r="B44" s="10" t="s">
        <v>223</v>
      </c>
      <c r="C44" s="10" t="s">
        <v>224</v>
      </c>
      <c r="D44" s="10" t="s">
        <v>225</v>
      </c>
      <c r="E44" s="10" t="s">
        <v>226</v>
      </c>
      <c r="F44" s="10" t="s">
        <v>214</v>
      </c>
      <c r="G44" s="10" t="s">
        <v>227</v>
      </c>
    </row>
    <row r="45" spans="1:7" ht="26.4" x14ac:dyDescent="0.3">
      <c r="A45" s="10" t="s">
        <v>228</v>
      </c>
      <c r="B45" s="10" t="s">
        <v>229</v>
      </c>
      <c r="C45" s="10" t="s">
        <v>230</v>
      </c>
      <c r="D45" s="10" t="s">
        <v>209</v>
      </c>
      <c r="E45" s="10" t="s">
        <v>209</v>
      </c>
      <c r="F45" s="10" t="s">
        <v>21</v>
      </c>
      <c r="G45" s="10" t="s">
        <v>231</v>
      </c>
    </row>
    <row r="46" spans="1:7" ht="26.4" x14ac:dyDescent="0.3">
      <c r="A46" s="9" t="s">
        <v>232</v>
      </c>
      <c r="B46" s="9" t="s">
        <v>233</v>
      </c>
      <c r="C46" s="9" t="s">
        <v>48</v>
      </c>
      <c r="D46" s="9" t="s">
        <v>234</v>
      </c>
      <c r="E46" s="9" t="s">
        <v>235</v>
      </c>
      <c r="F46" s="9" t="s">
        <v>51</v>
      </c>
      <c r="G46" s="9"/>
    </row>
    <row r="47" spans="1:7" ht="26.4" x14ac:dyDescent="0.3">
      <c r="A47" s="10" t="s">
        <v>236</v>
      </c>
      <c r="B47" s="10" t="s">
        <v>237</v>
      </c>
      <c r="C47" s="10" t="s">
        <v>238</v>
      </c>
      <c r="D47" s="10" t="s">
        <v>234</v>
      </c>
      <c r="E47" s="10" t="s">
        <v>239</v>
      </c>
      <c r="F47" s="10" t="s">
        <v>21</v>
      </c>
      <c r="G47" s="10" t="s">
        <v>240</v>
      </c>
    </row>
    <row r="48" spans="1:7" ht="26.4" x14ac:dyDescent="0.3">
      <c r="A48" s="10" t="s">
        <v>241</v>
      </c>
      <c r="B48" s="10" t="s">
        <v>242</v>
      </c>
      <c r="C48" s="10" t="s">
        <v>243</v>
      </c>
      <c r="D48" s="10" t="s">
        <v>234</v>
      </c>
      <c r="E48" s="10" t="s">
        <v>239</v>
      </c>
      <c r="F48" s="10" t="s">
        <v>27</v>
      </c>
      <c r="G48" s="10" t="s">
        <v>240</v>
      </c>
    </row>
    <row r="49" spans="1:7" ht="39.6" x14ac:dyDescent="0.3">
      <c r="A49" s="10" t="s">
        <v>244</v>
      </c>
      <c r="B49" s="10" t="s">
        <v>245</v>
      </c>
      <c r="C49" s="10" t="s">
        <v>246</v>
      </c>
      <c r="D49" s="10" t="s">
        <v>247</v>
      </c>
      <c r="E49" s="10" t="s">
        <v>248</v>
      </c>
      <c r="F49" s="10" t="s">
        <v>17</v>
      </c>
      <c r="G49" s="10" t="s">
        <v>249</v>
      </c>
    </row>
    <row r="50" spans="1:7" ht="26.4" x14ac:dyDescent="0.3">
      <c r="A50" s="10" t="s">
        <v>250</v>
      </c>
      <c r="B50" s="10" t="s">
        <v>251</v>
      </c>
      <c r="C50" s="10" t="s">
        <v>252</v>
      </c>
      <c r="D50" s="10" t="s">
        <v>253</v>
      </c>
      <c r="E50" s="10" t="s">
        <v>235</v>
      </c>
      <c r="F50" s="10" t="s">
        <v>254</v>
      </c>
      <c r="G50" s="10" t="s">
        <v>255</v>
      </c>
    </row>
    <row r="51" spans="1:7" x14ac:dyDescent="0.3">
      <c r="A51" s="9" t="s">
        <v>256</v>
      </c>
      <c r="B51" s="9" t="s">
        <v>257</v>
      </c>
      <c r="C51" s="9" t="s">
        <v>48</v>
      </c>
      <c r="D51" s="9" t="s">
        <v>258</v>
      </c>
      <c r="E51" s="9" t="s">
        <v>259</v>
      </c>
      <c r="F51" s="9" t="s">
        <v>51</v>
      </c>
      <c r="G51" s="9"/>
    </row>
    <row r="52" spans="1:7" ht="26.4" x14ac:dyDescent="0.3">
      <c r="A52" s="10" t="s">
        <v>260</v>
      </c>
      <c r="B52" s="10" t="s">
        <v>261</v>
      </c>
      <c r="C52" s="10" t="s">
        <v>262</v>
      </c>
      <c r="D52" s="10" t="s">
        <v>258</v>
      </c>
      <c r="E52" s="10" t="s">
        <v>263</v>
      </c>
      <c r="F52" s="10" t="s">
        <v>264</v>
      </c>
      <c r="G52" s="10" t="s">
        <v>265</v>
      </c>
    </row>
    <row r="53" spans="1:7" ht="26.4" x14ac:dyDescent="0.3">
      <c r="A53" s="10" t="s">
        <v>266</v>
      </c>
      <c r="B53" s="10" t="s">
        <v>267</v>
      </c>
      <c r="C53" s="10" t="s">
        <v>268</v>
      </c>
      <c r="D53" s="10" t="s">
        <v>269</v>
      </c>
      <c r="E53" s="10" t="s">
        <v>269</v>
      </c>
      <c r="F53" s="10" t="s">
        <v>56</v>
      </c>
      <c r="G53" s="10" t="s">
        <v>270</v>
      </c>
    </row>
    <row r="54" spans="1:7" ht="26.4" x14ac:dyDescent="0.3">
      <c r="A54" s="10" t="s">
        <v>271</v>
      </c>
      <c r="B54" s="10" t="s">
        <v>272</v>
      </c>
      <c r="C54" s="10" t="s">
        <v>273</v>
      </c>
      <c r="D54" s="10" t="s">
        <v>259</v>
      </c>
      <c r="E54" s="10" t="s">
        <v>259</v>
      </c>
      <c r="F54" s="10" t="s">
        <v>56</v>
      </c>
      <c r="G54" s="10" t="s">
        <v>274</v>
      </c>
    </row>
    <row r="55" spans="1:7" x14ac:dyDescent="0.3">
      <c r="A55" s="11" t="s">
        <v>275</v>
      </c>
      <c r="B55" s="11" t="s">
        <v>276</v>
      </c>
      <c r="C55" s="11" t="s">
        <v>48</v>
      </c>
      <c r="D55" s="11" t="s">
        <v>49</v>
      </c>
      <c r="E55" s="11" t="s">
        <v>259</v>
      </c>
      <c r="F55" s="11" t="s">
        <v>51</v>
      </c>
      <c r="G55" s="11"/>
    </row>
    <row r="56" spans="1:7" ht="26.4" x14ac:dyDescent="0.3">
      <c r="A56" s="10" t="s">
        <v>277</v>
      </c>
      <c r="B56" s="10" t="s">
        <v>278</v>
      </c>
      <c r="C56" s="10" t="s">
        <v>279</v>
      </c>
      <c r="D56" s="10" t="s">
        <v>49</v>
      </c>
      <c r="E56" s="10" t="s">
        <v>259</v>
      </c>
      <c r="F56" s="10" t="s">
        <v>56</v>
      </c>
      <c r="G56" s="10" t="s">
        <v>280</v>
      </c>
    </row>
    <row r="57" spans="1:7" ht="26.4" x14ac:dyDescent="0.3">
      <c r="A57" s="10" t="s">
        <v>281</v>
      </c>
      <c r="B57" s="10" t="s">
        <v>282</v>
      </c>
      <c r="C57" s="10" t="s">
        <v>283</v>
      </c>
      <c r="D57" s="10" t="s">
        <v>49</v>
      </c>
      <c r="E57" s="10" t="s">
        <v>259</v>
      </c>
      <c r="F57" s="10" t="s">
        <v>56</v>
      </c>
      <c r="G57" s="10" t="s">
        <v>280</v>
      </c>
    </row>
    <row r="58" spans="1:7" ht="26.4" x14ac:dyDescent="0.3">
      <c r="A58" s="10" t="s">
        <v>284</v>
      </c>
      <c r="B58" s="10" t="s">
        <v>285</v>
      </c>
      <c r="C58" s="10" t="s">
        <v>286</v>
      </c>
      <c r="D58" s="10" t="s">
        <v>49</v>
      </c>
      <c r="E58" s="10" t="s">
        <v>259</v>
      </c>
      <c r="F58" s="10" t="s">
        <v>56</v>
      </c>
      <c r="G58" s="10" t="s">
        <v>287</v>
      </c>
    </row>
  </sheetData>
  <autoFilter ref="A4:G58" xr:uid="{00000000-0009-0000-0000-000001000000}"/>
  <mergeCells count="2">
    <mergeCell ref="A2:G2"/>
    <mergeCell ref="A1:G1"/>
  </mergeCells>
  <pageMargins left="0.75" right="0.75" top="1" bottom="1" header="0.5" footer="0.5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36"/>
  <sheetViews>
    <sheetView zoomScaleNormal="100" workbookViewId="0">
      <pane ySplit="4" topLeftCell="A5" activePane="bottomLeft" state="frozen"/>
      <selection pane="bottomLeft" activeCell="A31" sqref="A31:H31"/>
    </sheetView>
  </sheetViews>
  <sheetFormatPr defaultColWidth="8.6640625" defaultRowHeight="14.4" x14ac:dyDescent="0.3"/>
  <cols>
    <col min="1" max="1" width="7" customWidth="1"/>
    <col min="2" max="2" width="42" customWidth="1"/>
    <col min="3" max="3" width="16" customWidth="1"/>
    <col min="4" max="4" width="12" customWidth="1"/>
    <col min="5" max="5" width="10" customWidth="1"/>
    <col min="6" max="6" width="11" customWidth="1"/>
    <col min="7" max="7" width="46" customWidth="1"/>
    <col min="8" max="8" width="20" customWidth="1"/>
    <col min="10" max="10" width="10" customWidth="1"/>
    <col min="11" max="11" width="8" customWidth="1"/>
  </cols>
  <sheetData>
    <row r="1" spans="1:11" ht="21.75" customHeight="1" x14ac:dyDescent="0.3">
      <c r="A1" s="14" t="s">
        <v>507</v>
      </c>
      <c r="B1" s="13"/>
      <c r="C1" s="13"/>
      <c r="D1" s="13"/>
      <c r="E1" s="13"/>
      <c r="F1" s="13"/>
      <c r="G1" s="13"/>
      <c r="H1" s="13"/>
    </row>
    <row r="2" spans="1:11" ht="15.75" customHeight="1" x14ac:dyDescent="0.3">
      <c r="A2" s="12" t="s">
        <v>288</v>
      </c>
      <c r="B2" s="13"/>
      <c r="C2" s="13"/>
      <c r="D2" s="13"/>
      <c r="E2" s="13"/>
      <c r="F2" s="13"/>
      <c r="G2" s="13"/>
      <c r="H2" s="13"/>
    </row>
    <row r="4" spans="1:11" ht="15" customHeight="1" x14ac:dyDescent="0.3">
      <c r="A4" s="1" t="s">
        <v>289</v>
      </c>
      <c r="B4" s="1" t="s">
        <v>290</v>
      </c>
      <c r="C4" s="1" t="s">
        <v>291</v>
      </c>
      <c r="D4" s="1" t="s">
        <v>292</v>
      </c>
      <c r="E4" s="1" t="s">
        <v>4</v>
      </c>
      <c r="F4" s="1" t="s">
        <v>293</v>
      </c>
      <c r="G4" s="1" t="s">
        <v>294</v>
      </c>
      <c r="H4" s="1" t="s">
        <v>44</v>
      </c>
      <c r="J4" s="4" t="s">
        <v>295</v>
      </c>
    </row>
    <row r="5" spans="1:11" ht="26.4" x14ac:dyDescent="0.3">
      <c r="A5" s="2" t="s">
        <v>296</v>
      </c>
      <c r="B5" s="2" t="s">
        <v>297</v>
      </c>
      <c r="C5" s="2" t="s">
        <v>298</v>
      </c>
      <c r="D5" s="2" t="s">
        <v>12</v>
      </c>
      <c r="E5" s="2" t="s">
        <v>8</v>
      </c>
      <c r="F5" s="5">
        <f t="shared" ref="F5:F14" si="0">INDEX($K$6:$K$8,MATCH(D5,$J$6:$J$8,0))*INDEX($K$6:$K$8,MATCH(E5,$J$6:$J$8,0))</f>
        <v>6</v>
      </c>
      <c r="G5" s="2" t="s">
        <v>299</v>
      </c>
      <c r="H5" s="2" t="s">
        <v>19</v>
      </c>
      <c r="J5" s="4" t="s">
        <v>300</v>
      </c>
      <c r="K5" s="4" t="s">
        <v>301</v>
      </c>
    </row>
    <row r="6" spans="1:11" ht="26.4" x14ac:dyDescent="0.3">
      <c r="A6" s="3" t="s">
        <v>302</v>
      </c>
      <c r="B6" s="3" t="s">
        <v>303</v>
      </c>
      <c r="C6" s="3" t="s">
        <v>304</v>
      </c>
      <c r="D6" s="3" t="s">
        <v>12</v>
      </c>
      <c r="E6" s="3" t="s">
        <v>8</v>
      </c>
      <c r="F6" s="6">
        <f t="shared" si="0"/>
        <v>6</v>
      </c>
      <c r="G6" s="3" t="s">
        <v>305</v>
      </c>
      <c r="H6" s="3" t="s">
        <v>21</v>
      </c>
      <c r="J6" s="7" t="s">
        <v>24</v>
      </c>
      <c r="K6" s="7">
        <v>1</v>
      </c>
    </row>
    <row r="7" spans="1:11" ht="26.4" x14ac:dyDescent="0.3">
      <c r="A7" s="2" t="s">
        <v>306</v>
      </c>
      <c r="B7" s="2" t="s">
        <v>307</v>
      </c>
      <c r="C7" s="2" t="s">
        <v>308</v>
      </c>
      <c r="D7" s="2" t="s">
        <v>12</v>
      </c>
      <c r="E7" s="2" t="s">
        <v>12</v>
      </c>
      <c r="F7" s="5">
        <f t="shared" si="0"/>
        <v>4</v>
      </c>
      <c r="G7" s="2" t="s">
        <v>309</v>
      </c>
      <c r="H7" s="2" t="s">
        <v>56</v>
      </c>
      <c r="J7" s="7" t="s">
        <v>12</v>
      </c>
      <c r="K7" s="7">
        <v>2</v>
      </c>
    </row>
    <row r="8" spans="1:11" ht="26.4" x14ac:dyDescent="0.3">
      <c r="A8" s="3" t="s">
        <v>310</v>
      </c>
      <c r="B8" s="3" t="s">
        <v>311</v>
      </c>
      <c r="C8" s="3" t="s">
        <v>312</v>
      </c>
      <c r="D8" s="3" t="s">
        <v>12</v>
      </c>
      <c r="E8" s="3" t="s">
        <v>8</v>
      </c>
      <c r="F8" s="6">
        <f t="shared" si="0"/>
        <v>6</v>
      </c>
      <c r="G8" s="3" t="s">
        <v>313</v>
      </c>
      <c r="H8" s="3" t="s">
        <v>27</v>
      </c>
      <c r="J8" s="7" t="s">
        <v>8</v>
      </c>
      <c r="K8" s="7">
        <v>3</v>
      </c>
    </row>
    <row r="9" spans="1:11" ht="26.4" x14ac:dyDescent="0.3">
      <c r="A9" s="2" t="s">
        <v>314</v>
      </c>
      <c r="B9" s="2" t="s">
        <v>315</v>
      </c>
      <c r="C9" s="2" t="s">
        <v>316</v>
      </c>
      <c r="D9" s="2" t="s">
        <v>12</v>
      </c>
      <c r="E9" s="2" t="s">
        <v>8</v>
      </c>
      <c r="F9" s="5">
        <f t="shared" si="0"/>
        <v>6</v>
      </c>
      <c r="G9" s="2" t="s">
        <v>317</v>
      </c>
      <c r="H9" s="2" t="s">
        <v>56</v>
      </c>
    </row>
    <row r="10" spans="1:11" ht="26.4" x14ac:dyDescent="0.3">
      <c r="A10" s="3" t="s">
        <v>318</v>
      </c>
      <c r="B10" s="3" t="s">
        <v>319</v>
      </c>
      <c r="C10" s="3" t="s">
        <v>320</v>
      </c>
      <c r="D10" s="3" t="s">
        <v>12</v>
      </c>
      <c r="E10" s="3" t="s">
        <v>8</v>
      </c>
      <c r="F10" s="6">
        <f t="shared" si="0"/>
        <v>6</v>
      </c>
      <c r="G10" s="3" t="s">
        <v>321</v>
      </c>
      <c r="H10" s="3" t="s">
        <v>322</v>
      </c>
    </row>
    <row r="11" spans="1:11" ht="26.4" x14ac:dyDescent="0.3">
      <c r="A11" s="2" t="s">
        <v>323</v>
      </c>
      <c r="B11" s="2" t="s">
        <v>324</v>
      </c>
      <c r="C11" s="2" t="s">
        <v>325</v>
      </c>
      <c r="D11" s="2" t="s">
        <v>8</v>
      </c>
      <c r="E11" s="2" t="s">
        <v>12</v>
      </c>
      <c r="F11" s="5">
        <f t="shared" si="0"/>
        <v>6</v>
      </c>
      <c r="G11" s="2" t="s">
        <v>326</v>
      </c>
      <c r="H11" s="2" t="s">
        <v>56</v>
      </c>
    </row>
    <row r="12" spans="1:11" ht="26.4" x14ac:dyDescent="0.3">
      <c r="A12" s="3" t="s">
        <v>327</v>
      </c>
      <c r="B12" s="3" t="s">
        <v>328</v>
      </c>
      <c r="C12" s="3" t="s">
        <v>329</v>
      </c>
      <c r="D12" s="3" t="s">
        <v>24</v>
      </c>
      <c r="E12" s="3" t="s">
        <v>12</v>
      </c>
      <c r="F12" s="6">
        <f t="shared" si="0"/>
        <v>2</v>
      </c>
      <c r="G12" s="3" t="s">
        <v>330</v>
      </c>
      <c r="H12" s="3" t="s">
        <v>17</v>
      </c>
    </row>
    <row r="13" spans="1:11" ht="39.6" x14ac:dyDescent="0.3">
      <c r="A13" s="2" t="s">
        <v>331</v>
      </c>
      <c r="B13" s="2" t="s">
        <v>332</v>
      </c>
      <c r="C13" s="2" t="s">
        <v>333</v>
      </c>
      <c r="D13" s="2" t="s">
        <v>24</v>
      </c>
      <c r="E13" s="2" t="s">
        <v>8</v>
      </c>
      <c r="F13" s="5">
        <f t="shared" si="0"/>
        <v>3</v>
      </c>
      <c r="G13" s="2" t="s">
        <v>334</v>
      </c>
      <c r="H13" s="2" t="s">
        <v>56</v>
      </c>
    </row>
    <row r="14" spans="1:11" ht="39.6" x14ac:dyDescent="0.3">
      <c r="A14" s="3" t="s">
        <v>335</v>
      </c>
      <c r="B14" s="3" t="s">
        <v>336</v>
      </c>
      <c r="C14" s="3" t="s">
        <v>337</v>
      </c>
      <c r="D14" s="3" t="s">
        <v>24</v>
      </c>
      <c r="E14" s="3" t="s">
        <v>12</v>
      </c>
      <c r="F14" s="6">
        <f t="shared" si="0"/>
        <v>2</v>
      </c>
      <c r="G14" s="3" t="s">
        <v>338</v>
      </c>
      <c r="H14" s="3" t="s">
        <v>56</v>
      </c>
    </row>
    <row r="16" spans="1:11" x14ac:dyDescent="0.3">
      <c r="A16" s="26"/>
      <c r="B16" s="26"/>
      <c r="C16" s="26"/>
      <c r="D16" s="26"/>
      <c r="E16" s="26"/>
      <c r="F16" s="26"/>
      <c r="G16" s="26"/>
      <c r="H16" s="26"/>
    </row>
    <row r="19" spans="1:8" x14ac:dyDescent="0.3">
      <c r="A19" s="26"/>
      <c r="B19" s="26"/>
      <c r="C19" s="26"/>
      <c r="D19" s="26"/>
      <c r="E19" s="26"/>
      <c r="F19" s="26"/>
      <c r="G19" s="26"/>
      <c r="H19" s="26"/>
    </row>
    <row r="20" spans="1:8" x14ac:dyDescent="0.3">
      <c r="A20" s="13"/>
      <c r="B20" s="13"/>
      <c r="C20" s="13"/>
      <c r="D20" s="13"/>
      <c r="E20" s="13"/>
      <c r="F20" s="13"/>
      <c r="G20" s="13"/>
      <c r="H20" s="13"/>
    </row>
    <row r="21" spans="1:8" x14ac:dyDescent="0.3">
      <c r="A21" s="13"/>
      <c r="B21" s="13"/>
      <c r="C21" s="13"/>
      <c r="D21" s="13"/>
      <c r="E21" s="13"/>
      <c r="F21" s="13"/>
      <c r="G21" s="13"/>
      <c r="H21" s="13"/>
    </row>
    <row r="22" spans="1:8" x14ac:dyDescent="0.3">
      <c r="A22" s="13"/>
      <c r="B22" s="13"/>
      <c r="C22" s="13"/>
      <c r="D22" s="13"/>
      <c r="E22" s="13"/>
      <c r="F22" s="13"/>
      <c r="G22" s="13"/>
      <c r="H22" s="13"/>
    </row>
    <row r="23" spans="1:8" x14ac:dyDescent="0.3">
      <c r="A23" s="13"/>
      <c r="B23" s="13"/>
      <c r="C23" s="13"/>
      <c r="D23" s="13"/>
      <c r="E23" s="13"/>
      <c r="F23" s="13"/>
      <c r="G23" s="13"/>
      <c r="H23" s="13"/>
    </row>
    <row r="24" spans="1:8" x14ac:dyDescent="0.3">
      <c r="A24" s="13"/>
      <c r="B24" s="13"/>
      <c r="C24" s="13"/>
      <c r="D24" s="13"/>
      <c r="E24" s="13"/>
      <c r="F24" s="13"/>
      <c r="G24" s="13"/>
      <c r="H24" s="13"/>
    </row>
    <row r="25" spans="1:8" x14ac:dyDescent="0.3">
      <c r="A25" s="13"/>
      <c r="B25" s="13"/>
      <c r="C25" s="13"/>
      <c r="D25" s="13"/>
      <c r="E25" s="13"/>
      <c r="F25" s="13"/>
      <c r="G25" s="13"/>
      <c r="H25" s="13"/>
    </row>
    <row r="26" spans="1:8" x14ac:dyDescent="0.3">
      <c r="A26" s="26"/>
      <c r="B26" s="26"/>
      <c r="C26" s="26"/>
      <c r="D26" s="26"/>
      <c r="E26" s="26"/>
      <c r="F26" s="26"/>
      <c r="G26" s="26"/>
      <c r="H26" s="26"/>
    </row>
    <row r="27" spans="1:8" x14ac:dyDescent="0.3">
      <c r="A27" s="13"/>
      <c r="B27" s="13"/>
      <c r="C27" s="13"/>
      <c r="D27" s="13"/>
      <c r="E27" s="13"/>
      <c r="F27" s="13"/>
      <c r="G27" s="13"/>
      <c r="H27" s="13"/>
    </row>
    <row r="28" spans="1:8" x14ac:dyDescent="0.3">
      <c r="A28" s="13"/>
      <c r="B28" s="13"/>
      <c r="C28" s="13"/>
      <c r="D28" s="13"/>
      <c r="E28" s="13"/>
      <c r="F28" s="13"/>
      <c r="G28" s="13"/>
      <c r="H28" s="13"/>
    </row>
    <row r="29" spans="1:8" x14ac:dyDescent="0.3">
      <c r="A29" s="13"/>
      <c r="B29" s="13"/>
      <c r="C29" s="13"/>
      <c r="D29" s="13"/>
      <c r="E29" s="13"/>
      <c r="F29" s="13"/>
      <c r="G29" s="13"/>
      <c r="H29" s="13"/>
    </row>
    <row r="30" spans="1:8" x14ac:dyDescent="0.3">
      <c r="A30" s="13"/>
      <c r="B30" s="13"/>
      <c r="C30" s="13"/>
      <c r="D30" s="13"/>
      <c r="E30" s="13"/>
      <c r="F30" s="13"/>
      <c r="G30" s="13"/>
      <c r="H30" s="13"/>
    </row>
    <row r="31" spans="1:8" x14ac:dyDescent="0.3">
      <c r="A31" s="13"/>
      <c r="B31" s="13"/>
      <c r="C31" s="13"/>
      <c r="D31" s="13"/>
      <c r="E31" s="13"/>
      <c r="F31" s="13"/>
      <c r="G31" s="13"/>
      <c r="H31" s="13"/>
    </row>
    <row r="32" spans="1:8" x14ac:dyDescent="0.3">
      <c r="A32" s="26"/>
      <c r="B32" s="26"/>
      <c r="C32" s="26"/>
      <c r="D32" s="26"/>
      <c r="E32" s="26"/>
      <c r="F32" s="26"/>
      <c r="G32" s="26"/>
      <c r="H32" s="26"/>
    </row>
    <row r="33" spans="1:8" x14ac:dyDescent="0.3">
      <c r="A33" s="13"/>
      <c r="B33" s="13"/>
      <c r="C33" s="13"/>
      <c r="D33" s="13"/>
      <c r="E33" s="13"/>
      <c r="F33" s="13"/>
      <c r="G33" s="13"/>
      <c r="H33" s="13"/>
    </row>
    <row r="34" spans="1:8" x14ac:dyDescent="0.3">
      <c r="A34" s="13"/>
      <c r="B34" s="13"/>
      <c r="C34" s="13"/>
      <c r="D34" s="13"/>
      <c r="E34" s="13"/>
      <c r="F34" s="13"/>
      <c r="G34" s="13"/>
      <c r="H34" s="13"/>
    </row>
    <row r="35" spans="1:8" x14ac:dyDescent="0.3">
      <c r="A35" s="13"/>
      <c r="B35" s="13"/>
      <c r="C35" s="13"/>
      <c r="D35" s="13"/>
      <c r="E35" s="13"/>
      <c r="F35" s="13"/>
      <c r="G35" s="13"/>
      <c r="H35" s="13"/>
    </row>
    <row r="36" spans="1:8" x14ac:dyDescent="0.3">
      <c r="A36" s="13"/>
      <c r="B36" s="13"/>
      <c r="C36" s="13"/>
      <c r="D36" s="13"/>
      <c r="E36" s="13"/>
      <c r="F36" s="13"/>
      <c r="G36" s="13"/>
      <c r="H36" s="13"/>
    </row>
  </sheetData>
  <autoFilter ref="A4:H14" xr:uid="{00000000-0009-0000-0000-000002000000}"/>
  <mergeCells count="21">
    <mergeCell ref="A36:H36"/>
    <mergeCell ref="A31:H31"/>
    <mergeCell ref="A32:H32"/>
    <mergeCell ref="A33:H33"/>
    <mergeCell ref="A34:H34"/>
    <mergeCell ref="A35:H35"/>
    <mergeCell ref="A26:H26"/>
    <mergeCell ref="A27:H27"/>
    <mergeCell ref="A28:H28"/>
    <mergeCell ref="A29:H29"/>
    <mergeCell ref="A30:H30"/>
    <mergeCell ref="A21:H21"/>
    <mergeCell ref="A22:H22"/>
    <mergeCell ref="A23:H23"/>
    <mergeCell ref="A24:H24"/>
    <mergeCell ref="A25:H25"/>
    <mergeCell ref="A2:H2"/>
    <mergeCell ref="A1:H1"/>
    <mergeCell ref="A16:H16"/>
    <mergeCell ref="A19:H19"/>
    <mergeCell ref="A20:H20"/>
  </mergeCells>
  <conditionalFormatting sqref="F5:F14">
    <cfRule type="colorScale" priority="2">
      <colorScale>
        <cfvo type="min"/>
        <cfvo type="percentile" val="50"/>
        <cfvo type="max"/>
        <color rgb="FFC6EFCE"/>
        <color rgb="FFFFEB9C"/>
        <color rgb="FFFFC7CE"/>
      </colorScale>
    </cfRule>
  </conditionalFormatting>
  <dataValidations count="1">
    <dataValidation type="list" sqref="D5:E14" xr:uid="{00000000-0002-0000-0200-000000000000}">
      <formula1>$J$6:$J$8</formula1>
      <formula2>0</formula2>
    </dataValidation>
  </dataValidations>
  <pageMargins left="0.4" right="0.4" top="0.5" bottom="0.5" header="0.511811023622047" footer="0.511811023622047"/>
  <pageSetup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E12"/>
  <sheetViews>
    <sheetView zoomScaleNormal="100" workbookViewId="0">
      <pane ySplit="4" topLeftCell="A5" activePane="bottomLeft" state="frozen"/>
      <selection pane="bottomLeft" activeCell="C3" sqref="C3"/>
    </sheetView>
  </sheetViews>
  <sheetFormatPr defaultColWidth="8.6640625" defaultRowHeight="14.4" x14ac:dyDescent="0.3"/>
  <cols>
    <col min="1" max="1" width="34" customWidth="1"/>
    <col min="2" max="2" width="40" customWidth="1"/>
    <col min="3" max="3" width="26" customWidth="1"/>
    <col min="4" max="4" width="30" customWidth="1"/>
    <col min="5" max="5" width="16" customWidth="1"/>
  </cols>
  <sheetData>
    <row r="1" spans="1:5" ht="21.75" customHeight="1" x14ac:dyDescent="0.3">
      <c r="A1" s="28" t="s">
        <v>509</v>
      </c>
      <c r="B1" s="13"/>
      <c r="C1" s="13"/>
      <c r="D1" s="13"/>
      <c r="E1" s="13"/>
    </row>
    <row r="2" spans="1:5" ht="15.75" customHeight="1" x14ac:dyDescent="0.3">
      <c r="A2" s="12" t="s">
        <v>339</v>
      </c>
      <c r="B2" s="13"/>
      <c r="C2" s="13"/>
      <c r="D2" s="13"/>
      <c r="E2" s="13"/>
    </row>
    <row r="4" spans="1:5" ht="15" customHeight="1" x14ac:dyDescent="0.3">
      <c r="A4" s="1" t="s">
        <v>340</v>
      </c>
      <c r="B4" s="27" t="s">
        <v>341</v>
      </c>
      <c r="C4" s="1" t="s">
        <v>342</v>
      </c>
      <c r="D4" s="1" t="s">
        <v>343</v>
      </c>
      <c r="E4" s="1" t="s">
        <v>44</v>
      </c>
    </row>
    <row r="5" spans="1:5" ht="26.4" x14ac:dyDescent="0.3">
      <c r="A5" s="2" t="s">
        <v>344</v>
      </c>
      <c r="B5" s="2" t="s">
        <v>345</v>
      </c>
      <c r="C5" s="2" t="s">
        <v>346</v>
      </c>
      <c r="D5" s="2" t="s">
        <v>347</v>
      </c>
      <c r="E5" s="2" t="s">
        <v>56</v>
      </c>
    </row>
    <row r="6" spans="1:5" ht="26.4" x14ac:dyDescent="0.3">
      <c r="A6" s="3" t="s">
        <v>348</v>
      </c>
      <c r="B6" s="3" t="s">
        <v>349</v>
      </c>
      <c r="C6" s="3" t="s">
        <v>350</v>
      </c>
      <c r="D6" s="3" t="s">
        <v>351</v>
      </c>
      <c r="E6" s="3" t="s">
        <v>56</v>
      </c>
    </row>
    <row r="7" spans="1:5" ht="26.4" x14ac:dyDescent="0.3">
      <c r="A7" s="2" t="s">
        <v>322</v>
      </c>
      <c r="B7" s="2" t="s">
        <v>352</v>
      </c>
      <c r="C7" s="2" t="s">
        <v>353</v>
      </c>
      <c r="D7" s="2" t="s">
        <v>354</v>
      </c>
      <c r="E7" s="2" t="s">
        <v>56</v>
      </c>
    </row>
    <row r="8" spans="1:5" ht="39.6" x14ac:dyDescent="0.3">
      <c r="A8" s="3" t="s">
        <v>17</v>
      </c>
      <c r="B8" s="3" t="s">
        <v>355</v>
      </c>
      <c r="C8" s="3" t="s">
        <v>356</v>
      </c>
      <c r="D8" s="3" t="s">
        <v>357</v>
      </c>
      <c r="E8" s="3" t="s">
        <v>56</v>
      </c>
    </row>
    <row r="9" spans="1:5" ht="26.4" x14ac:dyDescent="0.3">
      <c r="A9" s="2" t="s">
        <v>358</v>
      </c>
      <c r="B9" s="2" t="s">
        <v>359</v>
      </c>
      <c r="C9" s="2" t="s">
        <v>360</v>
      </c>
      <c r="D9" s="2" t="s">
        <v>361</v>
      </c>
      <c r="E9" s="2" t="s">
        <v>56</v>
      </c>
    </row>
    <row r="10" spans="1:5" ht="26.4" x14ac:dyDescent="0.3">
      <c r="A10" s="3" t="s">
        <v>362</v>
      </c>
      <c r="B10" s="3" t="s">
        <v>363</v>
      </c>
      <c r="C10" s="3" t="s">
        <v>364</v>
      </c>
      <c r="D10" s="3" t="s">
        <v>365</v>
      </c>
      <c r="E10" s="3" t="s">
        <v>56</v>
      </c>
    </row>
    <row r="11" spans="1:5" ht="26.4" x14ac:dyDescent="0.3">
      <c r="A11" s="2" t="s">
        <v>366</v>
      </c>
      <c r="B11" s="2" t="s">
        <v>367</v>
      </c>
      <c r="C11" s="2" t="s">
        <v>368</v>
      </c>
      <c r="D11" s="2" t="s">
        <v>369</v>
      </c>
      <c r="E11" s="2" t="s">
        <v>56</v>
      </c>
    </row>
    <row r="12" spans="1:5" x14ac:dyDescent="0.3">
      <c r="A12" s="3" t="s">
        <v>370</v>
      </c>
      <c r="B12" s="3" t="s">
        <v>371</v>
      </c>
      <c r="C12" s="3" t="s">
        <v>372</v>
      </c>
      <c r="D12" s="3" t="s">
        <v>373</v>
      </c>
      <c r="E12" s="3" t="s">
        <v>56</v>
      </c>
    </row>
  </sheetData>
  <autoFilter ref="A4:E12" xr:uid="{00000000-0009-0000-0000-000004000000}"/>
  <mergeCells count="2">
    <mergeCell ref="A2:E2"/>
    <mergeCell ref="A1:E1"/>
  </mergeCells>
  <pageMargins left="0.4" right="0.4" top="0.5" bottom="0.5" header="0.511811023622047" footer="0.511811023622047"/>
  <pageSetup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L12"/>
  <sheetViews>
    <sheetView zoomScaleNormal="100" workbookViewId="0">
      <pane ySplit="4" topLeftCell="A5" activePane="bottomLeft" state="frozen"/>
      <selection pane="bottomLeft" activeCell="E14" sqref="E14"/>
    </sheetView>
  </sheetViews>
  <sheetFormatPr defaultColWidth="8.6640625" defaultRowHeight="14.4" x14ac:dyDescent="0.3"/>
  <cols>
    <col min="1" max="1" width="11" customWidth="1"/>
    <col min="2" max="2" width="34" customWidth="1"/>
    <col min="3" max="3" width="26" customWidth="1"/>
    <col min="4" max="4" width="16" customWidth="1"/>
    <col min="5" max="5" width="20" customWidth="1"/>
    <col min="6" max="7" width="12" customWidth="1"/>
    <col min="8" max="8" width="30" customWidth="1"/>
    <col min="9" max="9" width="11" customWidth="1"/>
    <col min="10" max="10" width="34" customWidth="1"/>
    <col min="11" max="11" width="18" customWidth="1"/>
    <col min="12" max="12" width="22" customWidth="1"/>
  </cols>
  <sheetData>
    <row r="1" spans="1:12" ht="21.75" customHeight="1" x14ac:dyDescent="0.3">
      <c r="A1" s="28" t="s">
        <v>508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ht="15.75" customHeight="1" x14ac:dyDescent="0.3">
      <c r="A2" s="12" t="s">
        <v>381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4" spans="1:12" ht="23.85" customHeight="1" x14ac:dyDescent="0.3">
      <c r="A4" s="1" t="s">
        <v>382</v>
      </c>
      <c r="B4" s="1" t="s">
        <v>383</v>
      </c>
      <c r="C4" s="1" t="s">
        <v>384</v>
      </c>
      <c r="D4" s="1" t="s">
        <v>385</v>
      </c>
      <c r="E4" s="1" t="s">
        <v>386</v>
      </c>
      <c r="F4" s="1" t="s">
        <v>387</v>
      </c>
      <c r="G4" s="1" t="s">
        <v>388</v>
      </c>
      <c r="H4" s="1" t="s">
        <v>389</v>
      </c>
      <c r="I4" s="1" t="s">
        <v>390</v>
      </c>
      <c r="J4" s="1" t="s">
        <v>391</v>
      </c>
      <c r="K4" s="1" t="s">
        <v>392</v>
      </c>
      <c r="L4" s="1" t="s">
        <v>393</v>
      </c>
    </row>
    <row r="5" spans="1:12" ht="39.6" x14ac:dyDescent="0.3">
      <c r="A5" s="2" t="s">
        <v>394</v>
      </c>
      <c r="B5" s="2" t="s">
        <v>395</v>
      </c>
      <c r="C5" s="2" t="s">
        <v>396</v>
      </c>
      <c r="D5" s="2" t="s">
        <v>397</v>
      </c>
      <c r="E5" s="2" t="s">
        <v>17</v>
      </c>
      <c r="F5" s="2" t="s">
        <v>70</v>
      </c>
      <c r="G5" s="2" t="s">
        <v>398</v>
      </c>
      <c r="H5" s="2" t="s">
        <v>399</v>
      </c>
      <c r="I5" s="2" t="s">
        <v>8</v>
      </c>
      <c r="J5" s="2" t="s">
        <v>400</v>
      </c>
      <c r="K5" s="2" t="s">
        <v>19</v>
      </c>
      <c r="L5" s="2" t="s">
        <v>401</v>
      </c>
    </row>
    <row r="6" spans="1:12" ht="35.1" customHeight="1" x14ac:dyDescent="0.3">
      <c r="A6" s="3" t="s">
        <v>402</v>
      </c>
      <c r="B6" s="3" t="s">
        <v>403</v>
      </c>
      <c r="C6" s="3" t="s">
        <v>404</v>
      </c>
      <c r="D6" s="3" t="s">
        <v>405</v>
      </c>
      <c r="E6" s="3" t="s">
        <v>17</v>
      </c>
      <c r="F6" s="3" t="s">
        <v>82</v>
      </c>
      <c r="G6" s="3" t="s">
        <v>406</v>
      </c>
      <c r="H6" s="3" t="s">
        <v>407</v>
      </c>
      <c r="I6" s="3" t="s">
        <v>408</v>
      </c>
      <c r="J6" s="3" t="s">
        <v>409</v>
      </c>
      <c r="K6" s="3" t="s">
        <v>19</v>
      </c>
      <c r="L6" s="3"/>
    </row>
    <row r="7" spans="1:12" ht="23.85" customHeight="1" x14ac:dyDescent="0.3">
      <c r="A7" s="2" t="s">
        <v>410</v>
      </c>
      <c r="B7" s="2" t="s">
        <v>411</v>
      </c>
      <c r="C7" s="2" t="s">
        <v>412</v>
      </c>
      <c r="D7" s="2" t="s">
        <v>413</v>
      </c>
      <c r="E7" s="2" t="s">
        <v>322</v>
      </c>
      <c r="F7" s="2" t="s">
        <v>414</v>
      </c>
      <c r="G7" s="2" t="s">
        <v>398</v>
      </c>
      <c r="H7" s="2" t="s">
        <v>415</v>
      </c>
      <c r="I7" s="2" t="s">
        <v>408</v>
      </c>
      <c r="J7" s="2" t="s">
        <v>416</v>
      </c>
      <c r="K7" s="2" t="s">
        <v>56</v>
      </c>
      <c r="L7" s="2"/>
    </row>
    <row r="8" spans="1:12" ht="35.1" customHeight="1" x14ac:dyDescent="0.3">
      <c r="A8" s="3" t="s">
        <v>417</v>
      </c>
      <c r="B8" s="3" t="s">
        <v>418</v>
      </c>
      <c r="C8" s="3" t="s">
        <v>419</v>
      </c>
      <c r="D8" s="3" t="s">
        <v>420</v>
      </c>
      <c r="E8" s="3" t="s">
        <v>421</v>
      </c>
      <c r="F8" s="3" t="s">
        <v>134</v>
      </c>
      <c r="G8" s="3" t="s">
        <v>406</v>
      </c>
      <c r="H8" s="3" t="s">
        <v>422</v>
      </c>
      <c r="I8" s="3" t="s">
        <v>8</v>
      </c>
      <c r="J8" s="3" t="s">
        <v>423</v>
      </c>
      <c r="K8" s="3" t="s">
        <v>56</v>
      </c>
      <c r="L8" s="3"/>
    </row>
    <row r="9" spans="1:12" ht="35.1" customHeight="1" x14ac:dyDescent="0.3">
      <c r="A9" s="2" t="s">
        <v>424</v>
      </c>
      <c r="B9" s="2" t="s">
        <v>425</v>
      </c>
      <c r="C9" s="2" t="s">
        <v>426</v>
      </c>
      <c r="D9" s="2" t="s">
        <v>427</v>
      </c>
      <c r="E9" s="2" t="s">
        <v>362</v>
      </c>
      <c r="F9" s="2" t="s">
        <v>428</v>
      </c>
      <c r="G9" s="2" t="s">
        <v>406</v>
      </c>
      <c r="H9" s="2" t="s">
        <v>429</v>
      </c>
      <c r="I9" s="2" t="s">
        <v>12</v>
      </c>
      <c r="J9" s="2" t="s">
        <v>430</v>
      </c>
      <c r="K9" s="2" t="s">
        <v>56</v>
      </c>
      <c r="L9" s="2"/>
    </row>
    <row r="10" spans="1:12" ht="23.85" customHeight="1" x14ac:dyDescent="0.3">
      <c r="A10" s="3" t="s">
        <v>431</v>
      </c>
      <c r="B10" s="3" t="s">
        <v>432</v>
      </c>
      <c r="C10" s="3" t="s">
        <v>433</v>
      </c>
      <c r="D10" s="3" t="s">
        <v>434</v>
      </c>
      <c r="E10" s="3" t="s">
        <v>435</v>
      </c>
      <c r="F10" s="3" t="s">
        <v>145</v>
      </c>
      <c r="G10" s="3" t="s">
        <v>406</v>
      </c>
      <c r="H10" s="3" t="s">
        <v>436</v>
      </c>
      <c r="I10" s="3" t="s">
        <v>12</v>
      </c>
      <c r="J10" s="3" t="s">
        <v>437</v>
      </c>
      <c r="K10" s="3" t="s">
        <v>17</v>
      </c>
      <c r="L10" s="3"/>
    </row>
    <row r="11" spans="1:12" ht="35.1" customHeight="1" x14ac:dyDescent="0.3">
      <c r="A11" s="2" t="s">
        <v>438</v>
      </c>
      <c r="B11" s="2" t="s">
        <v>439</v>
      </c>
      <c r="C11" s="2" t="s">
        <v>440</v>
      </c>
      <c r="D11" s="2" t="s">
        <v>405</v>
      </c>
      <c r="E11" s="2" t="s">
        <v>17</v>
      </c>
      <c r="F11" s="2" t="s">
        <v>179</v>
      </c>
      <c r="G11" s="2" t="s">
        <v>406</v>
      </c>
      <c r="H11" s="2" t="s">
        <v>441</v>
      </c>
      <c r="I11" s="2" t="s">
        <v>8</v>
      </c>
      <c r="J11" s="2" t="s">
        <v>442</v>
      </c>
      <c r="K11" s="2" t="s">
        <v>17</v>
      </c>
      <c r="L11" s="2"/>
    </row>
    <row r="12" spans="1:12" ht="35.1" customHeight="1" x14ac:dyDescent="0.3">
      <c r="A12" s="3" t="s">
        <v>443</v>
      </c>
      <c r="B12" s="3" t="s">
        <v>444</v>
      </c>
      <c r="C12" s="3" t="s">
        <v>445</v>
      </c>
      <c r="D12" s="3" t="s">
        <v>446</v>
      </c>
      <c r="E12" s="3" t="s">
        <v>447</v>
      </c>
      <c r="F12" s="3" t="s">
        <v>380</v>
      </c>
      <c r="G12" s="3" t="s">
        <v>406</v>
      </c>
      <c r="H12" s="3" t="s">
        <v>448</v>
      </c>
      <c r="I12" s="3" t="s">
        <v>8</v>
      </c>
      <c r="J12" s="3" t="s">
        <v>449</v>
      </c>
      <c r="K12" s="3" t="s">
        <v>56</v>
      </c>
      <c r="L12" s="3"/>
    </row>
  </sheetData>
  <autoFilter ref="A4:L12" xr:uid="{00000000-0009-0000-0000-000006000000}"/>
  <mergeCells count="2">
    <mergeCell ref="A2:L2"/>
    <mergeCell ref="A1:L1"/>
  </mergeCells>
  <pageMargins left="0.4" right="0.4" top="0.5" bottom="0.5" header="0.511811023622047" footer="0.511811023622047"/>
  <pageSetup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1C9BD-AEC5-4F3A-830B-C6EDFD3B3C6C}">
  <sheetPr>
    <pageSetUpPr fitToPage="1"/>
  </sheetPr>
  <dimension ref="A1:F54"/>
  <sheetViews>
    <sheetView workbookViewId="0">
      <pane ySplit="4" topLeftCell="A43" activePane="bottomLeft" state="frozen"/>
      <selection pane="bottomLeft" activeCell="A5" sqref="A5:A10"/>
    </sheetView>
  </sheetViews>
  <sheetFormatPr defaultRowHeight="14.4" x14ac:dyDescent="0.3"/>
  <cols>
    <col min="1" max="1" width="26" style="17" customWidth="1"/>
    <col min="2" max="2" width="48" style="17" customWidth="1"/>
    <col min="3" max="3" width="34" style="17" customWidth="1"/>
    <col min="4" max="5" width="12" style="17" customWidth="1"/>
    <col min="6" max="6" width="16" style="17" customWidth="1"/>
    <col min="7" max="16384" width="8.88671875" style="17"/>
  </cols>
  <sheetData>
    <row r="1" spans="1:6" ht="22.05" customHeight="1" x14ac:dyDescent="0.3">
      <c r="A1" s="29" t="s">
        <v>510</v>
      </c>
      <c r="B1" s="24"/>
      <c r="C1" s="24"/>
      <c r="D1" s="24"/>
      <c r="E1" s="24"/>
      <c r="F1" s="24"/>
    </row>
    <row r="2" spans="1:6" ht="16.05" customHeight="1" x14ac:dyDescent="0.3">
      <c r="A2" s="25" t="s">
        <v>504</v>
      </c>
      <c r="B2" s="24"/>
      <c r="C2" s="24"/>
      <c r="D2" s="24"/>
      <c r="E2" s="24"/>
      <c r="F2" s="24"/>
    </row>
    <row r="4" spans="1:6" x14ac:dyDescent="0.3">
      <c r="A4" s="23" t="s">
        <v>374</v>
      </c>
      <c r="B4" s="23" t="s">
        <v>503</v>
      </c>
      <c r="C4" s="23" t="s">
        <v>450</v>
      </c>
      <c r="D4" s="23" t="s">
        <v>42</v>
      </c>
      <c r="E4" s="23" t="s">
        <v>43</v>
      </c>
      <c r="F4" s="23" t="s">
        <v>502</v>
      </c>
    </row>
    <row r="5" spans="1:6" x14ac:dyDescent="0.3">
      <c r="A5" s="30" t="s">
        <v>511</v>
      </c>
      <c r="B5" s="22" t="s">
        <v>501</v>
      </c>
      <c r="C5" s="22"/>
      <c r="D5" s="22" t="s">
        <v>49</v>
      </c>
      <c r="E5" s="22" t="s">
        <v>55</v>
      </c>
      <c r="F5" s="22" t="s">
        <v>512</v>
      </c>
    </row>
    <row r="6" spans="1:6" x14ac:dyDescent="0.3">
      <c r="A6" s="19"/>
      <c r="B6" s="22" t="s">
        <v>500</v>
      </c>
      <c r="C6" s="22"/>
      <c r="D6" s="22" t="s">
        <v>49</v>
      </c>
      <c r="E6" s="22" t="s">
        <v>55</v>
      </c>
      <c r="F6" s="22" t="s">
        <v>512</v>
      </c>
    </row>
    <row r="7" spans="1:6" ht="26.4" x14ac:dyDescent="0.3">
      <c r="A7" s="19"/>
      <c r="B7" s="22" t="s">
        <v>499</v>
      </c>
      <c r="C7" s="22"/>
      <c r="D7" s="22" t="s">
        <v>64</v>
      </c>
      <c r="E7" s="22" t="s">
        <v>65</v>
      </c>
      <c r="F7" s="22" t="s">
        <v>498</v>
      </c>
    </row>
    <row r="8" spans="1:6" x14ac:dyDescent="0.3">
      <c r="A8" s="19"/>
      <c r="B8" s="22" t="s">
        <v>497</v>
      </c>
      <c r="C8" s="22"/>
      <c r="D8" s="22" t="s">
        <v>70</v>
      </c>
      <c r="E8" s="22" t="s">
        <v>50</v>
      </c>
      <c r="F8" s="22" t="s">
        <v>61</v>
      </c>
    </row>
    <row r="9" spans="1:6" x14ac:dyDescent="0.3">
      <c r="A9" s="19"/>
      <c r="B9" s="22" t="s">
        <v>496</v>
      </c>
      <c r="C9" s="22"/>
      <c r="D9" s="22" t="s">
        <v>70</v>
      </c>
      <c r="E9" s="22" t="s">
        <v>50</v>
      </c>
      <c r="F9" s="22" t="s">
        <v>61</v>
      </c>
    </row>
    <row r="10" spans="1:6" ht="26.4" x14ac:dyDescent="0.3">
      <c r="A10" s="19"/>
      <c r="B10" s="18" t="s">
        <v>450</v>
      </c>
      <c r="C10" s="18" t="s">
        <v>375</v>
      </c>
      <c r="D10" s="18" t="s">
        <v>50</v>
      </c>
      <c r="E10" s="18" t="s">
        <v>50</v>
      </c>
      <c r="F10" s="18"/>
    </row>
    <row r="11" spans="1:6" x14ac:dyDescent="0.3">
      <c r="A11" s="21" t="s">
        <v>513</v>
      </c>
      <c r="B11" s="20" t="s">
        <v>495</v>
      </c>
      <c r="C11" s="20"/>
      <c r="D11" s="20" t="s">
        <v>77</v>
      </c>
      <c r="E11" s="20" t="s">
        <v>82</v>
      </c>
      <c r="F11" s="20" t="s">
        <v>490</v>
      </c>
    </row>
    <row r="12" spans="1:6" ht="26.4" x14ac:dyDescent="0.3">
      <c r="A12" s="19"/>
      <c r="B12" s="20" t="s">
        <v>494</v>
      </c>
      <c r="C12" s="20"/>
      <c r="D12" s="20" t="s">
        <v>87</v>
      </c>
      <c r="E12" s="20" t="s">
        <v>88</v>
      </c>
      <c r="F12" s="20" t="s">
        <v>79</v>
      </c>
    </row>
    <row r="13" spans="1:6" x14ac:dyDescent="0.3">
      <c r="A13" s="19"/>
      <c r="B13" s="20" t="s">
        <v>493</v>
      </c>
      <c r="C13" s="20"/>
      <c r="D13" s="20" t="s">
        <v>93</v>
      </c>
      <c r="E13" s="20" t="s">
        <v>94</v>
      </c>
      <c r="F13" s="20" t="s">
        <v>84</v>
      </c>
    </row>
    <row r="14" spans="1:6" x14ac:dyDescent="0.3">
      <c r="A14" s="19"/>
      <c r="B14" s="20" t="s">
        <v>492</v>
      </c>
      <c r="C14" s="20"/>
      <c r="D14" s="20" t="s">
        <v>99</v>
      </c>
      <c r="E14" s="20" t="s">
        <v>100</v>
      </c>
      <c r="F14" s="20" t="s">
        <v>90</v>
      </c>
    </row>
    <row r="15" spans="1:6" x14ac:dyDescent="0.3">
      <c r="A15" s="19"/>
      <c r="B15" s="20" t="s">
        <v>491</v>
      </c>
      <c r="C15" s="20"/>
      <c r="D15" s="20" t="s">
        <v>77</v>
      </c>
      <c r="E15" s="20" t="s">
        <v>82</v>
      </c>
      <c r="F15" s="20" t="s">
        <v>490</v>
      </c>
    </row>
    <row r="16" spans="1:6" x14ac:dyDescent="0.3">
      <c r="A16" s="19"/>
      <c r="B16" s="20" t="s">
        <v>489</v>
      </c>
      <c r="C16" s="20"/>
      <c r="D16" s="20" t="s">
        <v>77</v>
      </c>
      <c r="E16" s="20" t="s">
        <v>108</v>
      </c>
      <c r="F16" s="20" t="s">
        <v>67</v>
      </c>
    </row>
    <row r="17" spans="1:6" x14ac:dyDescent="0.3">
      <c r="A17" s="19"/>
      <c r="B17" s="20" t="s">
        <v>488</v>
      </c>
      <c r="C17" s="20"/>
      <c r="D17" s="20" t="s">
        <v>70</v>
      </c>
      <c r="E17" s="20" t="s">
        <v>50</v>
      </c>
      <c r="F17" s="20" t="s">
        <v>61</v>
      </c>
    </row>
    <row r="18" spans="1:6" x14ac:dyDescent="0.3">
      <c r="A18" s="19"/>
      <c r="B18" s="20" t="s">
        <v>487</v>
      </c>
      <c r="C18" s="20"/>
      <c r="D18" s="20" t="s">
        <v>93</v>
      </c>
      <c r="E18" s="20" t="s">
        <v>99</v>
      </c>
      <c r="F18" s="20" t="s">
        <v>84</v>
      </c>
    </row>
    <row r="19" spans="1:6" ht="26.4" x14ac:dyDescent="0.3">
      <c r="A19" s="19"/>
      <c r="B19" s="20" t="s">
        <v>486</v>
      </c>
      <c r="C19" s="20"/>
      <c r="D19" s="20" t="s">
        <v>119</v>
      </c>
      <c r="E19" s="20" t="s">
        <v>120</v>
      </c>
      <c r="F19" s="20" t="s">
        <v>96</v>
      </c>
    </row>
    <row r="20" spans="1:6" ht="26.4" x14ac:dyDescent="0.3">
      <c r="A20" s="19"/>
      <c r="B20" s="20" t="s">
        <v>485</v>
      </c>
      <c r="C20" s="20"/>
      <c r="D20" s="20" t="s">
        <v>78</v>
      </c>
      <c r="E20" s="20" t="s">
        <v>78</v>
      </c>
      <c r="F20" s="20" t="s">
        <v>484</v>
      </c>
    </row>
    <row r="21" spans="1:6" ht="26.4" x14ac:dyDescent="0.3">
      <c r="A21" s="19"/>
      <c r="B21" s="18" t="s">
        <v>450</v>
      </c>
      <c r="C21" s="18" t="s">
        <v>123</v>
      </c>
      <c r="D21" s="18" t="s">
        <v>78</v>
      </c>
      <c r="E21" s="18" t="s">
        <v>78</v>
      </c>
      <c r="F21" s="18"/>
    </row>
    <row r="22" spans="1:6" x14ac:dyDescent="0.3">
      <c r="A22" s="21" t="s">
        <v>514</v>
      </c>
      <c r="B22" s="22" t="s">
        <v>483</v>
      </c>
      <c r="C22" s="22"/>
      <c r="D22" s="22" t="s">
        <v>129</v>
      </c>
      <c r="E22" s="22" t="s">
        <v>134</v>
      </c>
      <c r="F22" s="22" t="s">
        <v>122</v>
      </c>
    </row>
    <row r="23" spans="1:6" x14ac:dyDescent="0.3">
      <c r="A23" s="19"/>
      <c r="B23" s="22" t="s">
        <v>482</v>
      </c>
      <c r="C23" s="22"/>
      <c r="D23" s="22" t="s">
        <v>129</v>
      </c>
      <c r="E23" s="22" t="s">
        <v>134</v>
      </c>
      <c r="F23" s="22" t="s">
        <v>122</v>
      </c>
    </row>
    <row r="24" spans="1:6" x14ac:dyDescent="0.3">
      <c r="A24" s="19"/>
      <c r="B24" s="22" t="s">
        <v>481</v>
      </c>
      <c r="C24" s="22"/>
      <c r="D24" s="22" t="s">
        <v>129</v>
      </c>
      <c r="E24" s="22" t="s">
        <v>134</v>
      </c>
      <c r="F24" s="22" t="s">
        <v>122</v>
      </c>
    </row>
    <row r="25" spans="1:6" x14ac:dyDescent="0.3">
      <c r="A25" s="19"/>
      <c r="B25" s="22" t="s">
        <v>480</v>
      </c>
      <c r="C25" s="22"/>
      <c r="D25" s="22" t="s">
        <v>145</v>
      </c>
      <c r="E25" s="22" t="s">
        <v>130</v>
      </c>
      <c r="F25" s="22" t="s">
        <v>479</v>
      </c>
    </row>
    <row r="26" spans="1:6" ht="26.4" x14ac:dyDescent="0.3">
      <c r="A26" s="19"/>
      <c r="B26" s="18" t="s">
        <v>450</v>
      </c>
      <c r="C26" s="18" t="s">
        <v>376</v>
      </c>
      <c r="D26" s="18" t="s">
        <v>130</v>
      </c>
      <c r="E26" s="18" t="s">
        <v>130</v>
      </c>
      <c r="F26" s="18"/>
    </row>
    <row r="27" spans="1:6" x14ac:dyDescent="0.3">
      <c r="A27" s="21" t="s">
        <v>515</v>
      </c>
      <c r="B27" s="20" t="s">
        <v>478</v>
      </c>
      <c r="C27" s="20"/>
      <c r="D27" s="20" t="s">
        <v>149</v>
      </c>
      <c r="E27" s="20" t="s">
        <v>154</v>
      </c>
      <c r="F27" s="20" t="s">
        <v>142</v>
      </c>
    </row>
    <row r="28" spans="1:6" x14ac:dyDescent="0.3">
      <c r="A28" s="19"/>
      <c r="B28" s="20" t="s">
        <v>477</v>
      </c>
      <c r="C28" s="20"/>
      <c r="D28" s="20" t="s">
        <v>149</v>
      </c>
      <c r="E28" s="20" t="s">
        <v>154</v>
      </c>
      <c r="F28" s="20" t="s">
        <v>142</v>
      </c>
    </row>
    <row r="29" spans="1:6" ht="26.4" x14ac:dyDescent="0.3">
      <c r="A29" s="19"/>
      <c r="B29" s="20" t="s">
        <v>476</v>
      </c>
      <c r="C29" s="20"/>
      <c r="D29" s="20" t="s">
        <v>162</v>
      </c>
      <c r="E29" s="20" t="s">
        <v>163</v>
      </c>
      <c r="F29" s="20" t="s">
        <v>473</v>
      </c>
    </row>
    <row r="30" spans="1:6" x14ac:dyDescent="0.3">
      <c r="A30" s="19"/>
      <c r="B30" s="20" t="s">
        <v>475</v>
      </c>
      <c r="C30" s="20"/>
      <c r="D30" s="20" t="s">
        <v>162</v>
      </c>
      <c r="E30" s="20" t="s">
        <v>163</v>
      </c>
      <c r="F30" s="20" t="s">
        <v>473</v>
      </c>
    </row>
    <row r="31" spans="1:6" x14ac:dyDescent="0.3">
      <c r="A31" s="19"/>
      <c r="B31" s="20" t="s">
        <v>474</v>
      </c>
      <c r="C31" s="20"/>
      <c r="D31" s="20" t="s">
        <v>162</v>
      </c>
      <c r="E31" s="20" t="s">
        <v>163</v>
      </c>
      <c r="F31" s="20" t="s">
        <v>473</v>
      </c>
    </row>
    <row r="32" spans="1:6" x14ac:dyDescent="0.3">
      <c r="A32" s="19"/>
      <c r="B32" s="20" t="s">
        <v>472</v>
      </c>
      <c r="C32" s="20"/>
      <c r="D32" s="20" t="s">
        <v>150</v>
      </c>
      <c r="E32" s="20" t="s">
        <v>150</v>
      </c>
      <c r="F32" s="20" t="s">
        <v>471</v>
      </c>
    </row>
    <row r="33" spans="1:6" ht="26.4" x14ac:dyDescent="0.3">
      <c r="A33" s="19"/>
      <c r="B33" s="18" t="s">
        <v>450</v>
      </c>
      <c r="C33" s="18" t="s">
        <v>470</v>
      </c>
      <c r="D33" s="18" t="s">
        <v>150</v>
      </c>
      <c r="E33" s="18" t="s">
        <v>150</v>
      </c>
      <c r="F33" s="18"/>
    </row>
    <row r="34" spans="1:6" ht="26.4" x14ac:dyDescent="0.3">
      <c r="A34" s="21" t="s">
        <v>516</v>
      </c>
      <c r="B34" s="22" t="s">
        <v>469</v>
      </c>
      <c r="C34" s="22"/>
      <c r="D34" s="22" t="s">
        <v>178</v>
      </c>
      <c r="E34" s="22" t="s">
        <v>183</v>
      </c>
      <c r="F34" s="22" t="s">
        <v>172</v>
      </c>
    </row>
    <row r="35" spans="1:6" x14ac:dyDescent="0.3">
      <c r="A35" s="19"/>
      <c r="B35" s="22" t="s">
        <v>468</v>
      </c>
      <c r="C35" s="22"/>
      <c r="D35" s="22" t="s">
        <v>178</v>
      </c>
      <c r="E35" s="22" t="s">
        <v>188</v>
      </c>
      <c r="F35" s="22" t="s">
        <v>172</v>
      </c>
    </row>
    <row r="36" spans="1:6" ht="26.4" x14ac:dyDescent="0.3">
      <c r="A36" s="19"/>
      <c r="B36" s="22" t="s">
        <v>467</v>
      </c>
      <c r="C36" s="22"/>
      <c r="D36" s="22" t="s">
        <v>192</v>
      </c>
      <c r="E36" s="22" t="s">
        <v>183</v>
      </c>
      <c r="F36" s="22" t="s">
        <v>185</v>
      </c>
    </row>
    <row r="37" spans="1:6" x14ac:dyDescent="0.3">
      <c r="A37" s="19"/>
      <c r="B37" s="22" t="s">
        <v>466</v>
      </c>
      <c r="C37" s="22"/>
      <c r="D37" s="22" t="s">
        <v>178</v>
      </c>
      <c r="E37" s="22" t="s">
        <v>197</v>
      </c>
      <c r="F37" s="22" t="s">
        <v>172</v>
      </c>
    </row>
    <row r="38" spans="1:6" x14ac:dyDescent="0.3">
      <c r="A38" s="19"/>
      <c r="B38" s="22" t="s">
        <v>465</v>
      </c>
      <c r="C38" s="22"/>
      <c r="D38" s="22" t="s">
        <v>192</v>
      </c>
      <c r="E38" s="22" t="s">
        <v>201</v>
      </c>
      <c r="F38" s="22" t="s">
        <v>185</v>
      </c>
    </row>
    <row r="39" spans="1:6" x14ac:dyDescent="0.3">
      <c r="A39" s="19"/>
      <c r="B39" s="22" t="s">
        <v>464</v>
      </c>
      <c r="C39" s="22"/>
      <c r="D39" s="22" t="s">
        <v>179</v>
      </c>
      <c r="E39" s="22" t="s">
        <v>179</v>
      </c>
      <c r="F39" s="22" t="s">
        <v>463</v>
      </c>
    </row>
    <row r="40" spans="1:6" ht="26.4" x14ac:dyDescent="0.3">
      <c r="A40" s="19"/>
      <c r="B40" s="18" t="s">
        <v>450</v>
      </c>
      <c r="C40" s="18" t="s">
        <v>203</v>
      </c>
      <c r="D40" s="18" t="s">
        <v>179</v>
      </c>
      <c r="E40" s="18" t="s">
        <v>179</v>
      </c>
      <c r="F40" s="18"/>
    </row>
    <row r="41" spans="1:6" x14ac:dyDescent="0.3">
      <c r="A41" s="21" t="s">
        <v>517</v>
      </c>
      <c r="B41" s="20" t="s">
        <v>462</v>
      </c>
      <c r="C41" s="20"/>
      <c r="D41" s="20" t="s">
        <v>208</v>
      </c>
      <c r="E41" s="20" t="s">
        <v>213</v>
      </c>
      <c r="F41" s="20" t="s">
        <v>202</v>
      </c>
    </row>
    <row r="42" spans="1:6" ht="26.4" x14ac:dyDescent="0.3">
      <c r="A42" s="19"/>
      <c r="B42" s="20" t="s">
        <v>461</v>
      </c>
      <c r="C42" s="20"/>
      <c r="D42" s="20" t="s">
        <v>219</v>
      </c>
      <c r="E42" s="20" t="s">
        <v>220</v>
      </c>
      <c r="F42" s="20" t="s">
        <v>210</v>
      </c>
    </row>
    <row r="43" spans="1:6" x14ac:dyDescent="0.3">
      <c r="A43" s="19"/>
      <c r="B43" s="20" t="s">
        <v>460</v>
      </c>
      <c r="C43" s="20"/>
      <c r="D43" s="20" t="s">
        <v>225</v>
      </c>
      <c r="E43" s="20" t="s">
        <v>226</v>
      </c>
      <c r="F43" s="20" t="s">
        <v>216</v>
      </c>
    </row>
    <row r="44" spans="1:6" x14ac:dyDescent="0.3">
      <c r="A44" s="19"/>
      <c r="B44" s="20" t="s">
        <v>459</v>
      </c>
      <c r="C44" s="20"/>
      <c r="D44" s="20" t="s">
        <v>209</v>
      </c>
      <c r="E44" s="20" t="s">
        <v>209</v>
      </c>
      <c r="F44" s="20" t="s">
        <v>222</v>
      </c>
    </row>
    <row r="45" spans="1:6" ht="26.4" x14ac:dyDescent="0.3">
      <c r="A45" s="19"/>
      <c r="B45" s="18" t="s">
        <v>450</v>
      </c>
      <c r="C45" s="18" t="s">
        <v>377</v>
      </c>
      <c r="D45" s="18" t="s">
        <v>209</v>
      </c>
      <c r="E45" s="18" t="s">
        <v>209</v>
      </c>
      <c r="F45" s="18"/>
    </row>
    <row r="46" spans="1:6" x14ac:dyDescent="0.3">
      <c r="A46" s="21" t="s">
        <v>518</v>
      </c>
      <c r="B46" s="22" t="s">
        <v>458</v>
      </c>
      <c r="C46" s="22"/>
      <c r="D46" s="22" t="s">
        <v>234</v>
      </c>
      <c r="E46" s="22" t="s">
        <v>239</v>
      </c>
      <c r="F46" s="22" t="s">
        <v>228</v>
      </c>
    </row>
    <row r="47" spans="1:6" x14ac:dyDescent="0.3">
      <c r="A47" s="19"/>
      <c r="B47" s="22" t="s">
        <v>457</v>
      </c>
      <c r="C47" s="22"/>
      <c r="D47" s="22" t="s">
        <v>234</v>
      </c>
      <c r="E47" s="22" t="s">
        <v>239</v>
      </c>
      <c r="F47" s="22" t="s">
        <v>228</v>
      </c>
    </row>
    <row r="48" spans="1:6" x14ac:dyDescent="0.3">
      <c r="A48" s="19"/>
      <c r="B48" s="22" t="s">
        <v>456</v>
      </c>
      <c r="C48" s="22"/>
      <c r="D48" s="22" t="s">
        <v>247</v>
      </c>
      <c r="E48" s="22" t="s">
        <v>248</v>
      </c>
      <c r="F48" s="22" t="s">
        <v>455</v>
      </c>
    </row>
    <row r="49" spans="1:6" x14ac:dyDescent="0.3">
      <c r="A49" s="19"/>
      <c r="B49" s="22" t="s">
        <v>454</v>
      </c>
      <c r="C49" s="22"/>
      <c r="D49" s="22" t="s">
        <v>253</v>
      </c>
      <c r="E49" s="22" t="s">
        <v>235</v>
      </c>
      <c r="F49" s="22" t="s">
        <v>244</v>
      </c>
    </row>
    <row r="50" spans="1:6" ht="26.4" x14ac:dyDescent="0.3">
      <c r="A50" s="19"/>
      <c r="B50" s="18" t="s">
        <v>450</v>
      </c>
      <c r="C50" s="18" t="s">
        <v>378</v>
      </c>
      <c r="D50" s="18" t="s">
        <v>235</v>
      </c>
      <c r="E50" s="18" t="s">
        <v>235</v>
      </c>
      <c r="F50" s="18"/>
    </row>
    <row r="51" spans="1:6" x14ac:dyDescent="0.3">
      <c r="A51" s="21" t="s">
        <v>519</v>
      </c>
      <c r="B51" s="20" t="s">
        <v>453</v>
      </c>
      <c r="C51" s="20"/>
      <c r="D51" s="20" t="s">
        <v>258</v>
      </c>
      <c r="E51" s="20" t="s">
        <v>263</v>
      </c>
      <c r="F51" s="20" t="s">
        <v>250</v>
      </c>
    </row>
    <row r="52" spans="1:6" x14ac:dyDescent="0.3">
      <c r="A52" s="19"/>
      <c r="B52" s="20" t="s">
        <v>452</v>
      </c>
      <c r="C52" s="20"/>
      <c r="D52" s="20" t="s">
        <v>269</v>
      </c>
      <c r="E52" s="20" t="s">
        <v>269</v>
      </c>
      <c r="F52" s="20" t="s">
        <v>260</v>
      </c>
    </row>
    <row r="53" spans="1:6" x14ac:dyDescent="0.3">
      <c r="A53" s="19"/>
      <c r="B53" s="20" t="s">
        <v>451</v>
      </c>
      <c r="C53" s="20"/>
      <c r="D53" s="20" t="s">
        <v>259</v>
      </c>
      <c r="E53" s="20" t="s">
        <v>259</v>
      </c>
      <c r="F53" s="20" t="s">
        <v>266</v>
      </c>
    </row>
    <row r="54" spans="1:6" ht="26.4" x14ac:dyDescent="0.3">
      <c r="A54" s="19"/>
      <c r="B54" s="18" t="s">
        <v>450</v>
      </c>
      <c r="C54" s="18" t="s">
        <v>379</v>
      </c>
      <c r="D54" s="18" t="s">
        <v>259</v>
      </c>
      <c r="E54" s="18" t="s">
        <v>259</v>
      </c>
      <c r="F54" s="18"/>
    </row>
  </sheetData>
  <autoFilter ref="A4:F54" xr:uid="{00000000-0009-0000-0000-000000000000}"/>
  <mergeCells count="10">
    <mergeCell ref="A2:F2"/>
    <mergeCell ref="A27:A33"/>
    <mergeCell ref="A34:A40"/>
    <mergeCell ref="A1:F1"/>
    <mergeCell ref="A41:A45"/>
    <mergeCell ref="A11:A21"/>
    <mergeCell ref="A46:A50"/>
    <mergeCell ref="A51:A54"/>
    <mergeCell ref="A5:A10"/>
    <mergeCell ref="A22:A26"/>
  </mergeCells>
  <pageMargins left="0.4" right="0.4" top="0.5" bottom="0.5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Stakeholder Register</vt:lpstr>
      <vt:lpstr>WBS</vt:lpstr>
      <vt:lpstr>Risk Register</vt:lpstr>
      <vt:lpstr>Communication Plan</vt:lpstr>
      <vt:lpstr>Dependency Register</vt:lpstr>
      <vt:lpstr>Detailed Timeline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Rosely Chitaunhike</cp:lastModifiedBy>
  <cp:revision>0</cp:revision>
  <dcterms:created xsi:type="dcterms:W3CDTF">2026-08-29T18:25:45Z</dcterms:created>
  <dcterms:modified xsi:type="dcterms:W3CDTF">2026-09-06T13:32:40Z</dcterms:modified>
  <dc:language>en-US</dc:language>
</cp:coreProperties>
</file>