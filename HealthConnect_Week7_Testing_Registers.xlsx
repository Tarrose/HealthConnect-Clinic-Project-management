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ing &amp; Validation Plan" sheetId="1" state="visible" r:id="rId3"/>
    <sheet name="Updated Timeline" sheetId="2" state="visible" r:id="rId4"/>
    <sheet name="Testing Activity Tracker" sheetId="3" state="visible" r:id="rId5"/>
    <sheet name="Integration &amp; Issue Log" sheetId="4" state="visible" r:id="rId6"/>
    <sheet name="Updated Risk Register" sheetId="5" state="visible" r:id="rId7"/>
    <sheet name="Updated Dependency Register" sheetId="6" state="visible" r:id="rId8"/>
    <sheet name="Decision Log" sheetId="7" state="visible" r:id="rId9"/>
    <sheet name="Coordination Record" sheetId="8" state="visible" r:id="rId10"/>
    <sheet name="Testing &amp; Validation Record" sheetId="9" state="visible" r:id="rId11"/>
    <sheet name="Week 8 Readiness" sheetId="10" state="visible" r:id="rId12"/>
  </sheets>
  <definedNames>
    <definedName function="false" hidden="true" localSheetId="7" name="_xlnm._FilterDatabase" vbProcedure="false">'Coordination Record'!$A$4:$F$8</definedName>
    <definedName function="false" hidden="true" localSheetId="6" name="_xlnm._FilterDatabase" vbProcedure="false">'Decision Log'!$A$4:$F$7</definedName>
    <definedName function="false" hidden="true" localSheetId="3" name="_xlnm._FilterDatabase" vbProcedure="false">'Integration &amp; Issue Log'!$A$4:$I$8</definedName>
    <definedName function="false" hidden="true" localSheetId="0" name="_xlnm._FilterDatabase" vbProcedure="false">'Testing &amp; Validation Plan'!$A$4:$F$9</definedName>
    <definedName function="false" hidden="true" localSheetId="8" name="_xlnm._FilterDatabase" vbProcedure="false">'Testing &amp; Validation Record'!$A$4:$L$7</definedName>
    <definedName function="false" hidden="true" localSheetId="2" name="_xlnm._FilterDatabase" vbProcedure="false">'Testing Activity Tracker'!$A$4:$G$10</definedName>
    <definedName function="false" hidden="true" localSheetId="5" name="_xlnm._FilterDatabase" vbProcedure="false">'Updated Dependency Register'!$A$4:$L$8</definedName>
    <definedName function="false" hidden="true" localSheetId="4" name="_xlnm._FilterDatabase" vbProcedure="false">'Updated Risk Register'!$A$4:$I$18</definedName>
    <definedName function="false" hidden="true" localSheetId="1" name="_xlnm._FilterDatabase" vbProcedure="false">'Updated Timeline'!$A$4:$G$54</definedName>
    <definedName function="false" hidden="true" localSheetId="9" name="_xlnm._FilterDatabase" vbProcedure="false">'Week 8 Readiness'!$A$4:$D$11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<sst xmlns="http://schemas.openxmlformats.org/spreadsheetml/2006/main" count="736" uniqueCount="483">
  <si>
    <t xml:space="preserve">HealthConnect Project — Week 7 Testing &amp; Validation Plan</t>
  </si>
  <si>
    <t xml:space="preserve">What is being tested, by whom, and how it depends on other tracks' testing</t>
  </si>
  <si>
    <t xml:space="preserve">Workstream</t>
  </si>
  <si>
    <t xml:space="preserve">What Is Being Tested</t>
  </si>
  <si>
    <t xml:space="preserve">Testing Method</t>
  </si>
  <si>
    <t xml:space="preserve">Depends On</t>
  </si>
  <si>
    <t xml:space="preserve">Owner</t>
  </si>
  <si>
    <t xml:space="preserve">Target Completion</t>
  </si>
  <si>
    <t xml:space="preserve">Project Management</t>
  </si>
  <si>
    <t xml:space="preserve">Whether Week 6 integration decisions (DEC-02, DEC-04) hold up under real Phase 3/testing conditions</t>
  </si>
  <si>
    <t xml:space="preserve">Cross-track validation of DEP-002 and DEP-004 at scale</t>
  </si>
  <si>
    <t xml:space="preserve">Data Analytics, Generative AI Week 7 outputs</t>
  </si>
  <si>
    <t xml:space="preserve">Project Manager</t>
  </si>
  <si>
    <t xml:space="preserve">End of Week 7</t>
  </si>
  <si>
    <t xml:space="preserve">Data Analytics</t>
  </si>
  <si>
    <t xml:space="preserve">Accuracy and consistency of validated KPIs and the fallback patient-identifier approach at full Phase 3 scale</t>
  </si>
  <si>
    <t xml:space="preserve">Recalculation against underlying data; segment consistency checks</t>
  </si>
  <si>
    <t xml:space="preserve">Phase 3 data quality work</t>
  </si>
  <si>
    <t xml:space="preserve">Data Analyst</t>
  </si>
  <si>
    <t xml:space="preserve">Mid-Week 7</t>
  </si>
  <si>
    <t xml:space="preserve">Data Science</t>
  </si>
  <si>
    <t xml:space="preserve">Candidate model performance vs. Week 5 baseline; error analysis</t>
  </si>
  <si>
    <t xml:space="preserve">Held-out test data; classification metrics; false positive/negative review</t>
  </si>
  <si>
    <t xml:space="preserve">Data Analytics validated features</t>
  </si>
  <si>
    <t xml:space="preserve">Data Scientist</t>
  </si>
  <si>
    <t xml:space="preserve">ML Engineering</t>
  </si>
  <si>
    <t xml:space="preserve">Integrated pipeline reliability, input/output validation, error handling</t>
  </si>
  <si>
    <t xml:space="preserve">Component and integration testing; invalid-input scenarios</t>
  </si>
  <si>
    <t xml:space="preserve">Data Science candidate model</t>
  </si>
  <si>
    <t xml:space="preserve">ML Engineer</t>
  </si>
  <si>
    <t xml:space="preserve">Late Week 7</t>
  </si>
  <si>
    <t xml:space="preserve">Generative AI</t>
  </si>
  <si>
    <t xml:space="preserve">Assistant safety, consistency, and Knowledge Base compliance under an expanded, harder test set</t>
  </si>
  <si>
    <t xml:space="preserve">Structured test scenarios incl. ambiguous/unsupported/escalation cases</t>
  </si>
  <si>
    <t xml:space="preserve">None (self-contained, but PM validates result)</t>
  </si>
  <si>
    <t xml:space="preserve">Generative AI Developer</t>
  </si>
  <si>
    <t xml:space="preserve">HealthConnect Project — Updated Timeline (Week 7 Checkpoint)</t>
  </si>
  <si>
    <t xml:space="preserve">Phase 3 validated and effectively complete; Phase 4 (Solution Design) now starting.</t>
  </si>
  <si>
    <t xml:space="preserve">Major Phase</t>
  </si>
  <si>
    <t xml:space="preserve">Key Activity</t>
  </si>
  <si>
    <t xml:space="preserve">Milestone</t>
  </si>
  <si>
    <t xml:space="preserve">Start Date</t>
  </si>
  <si>
    <t xml:space="preserve">End Date</t>
  </si>
  <si>
    <t xml:space="preserve">Status</t>
  </si>
  <si>
    <t xml:space="preserve">Phase 1 — Project Initiation
(2026-08-31 to 2026-09-15)</t>
  </si>
  <si>
    <t xml:space="preserve">    •  1.1  Confirm business problem &amp; central question</t>
  </si>
  <si>
    <t xml:space="preserve">2026-08-31</t>
  </si>
  <si>
    <t xml:space="preserve">2026-09-01</t>
  </si>
  <si>
    <t xml:space="preserve">Complete</t>
  </si>
  <si>
    <t xml:space="preserve">—</t>
  </si>
  <si>
    <t xml:space="preserve">    •  1.2  Review data resources &amp; confirm assumptions</t>
  </si>
  <si>
    <t xml:space="preserve">    •  1.3  Develop Project Charter &amp; obtain Sponsor sign-off</t>
  </si>
  <si>
    <t xml:space="preserve">2026-09-02</t>
  </si>
  <si>
    <t xml:space="preserve">2026-09-10</t>
  </si>
  <si>
    <t xml:space="preserve">1.1; 1.2</t>
  </si>
  <si>
    <t xml:space="preserve">    •  1.4  Compile Stakeholder Register</t>
  </si>
  <si>
    <t xml:space="preserve">2026-09-11</t>
  </si>
  <si>
    <t xml:space="preserve">2026-09-15</t>
  </si>
  <si>
    <t xml:space="preserve">1.3</t>
  </si>
  <si>
    <t xml:space="preserve">    •  1.5  Confirm resourcing</t>
  </si>
  <si>
    <t xml:space="preserve">Project Charter approved by Sponsor</t>
  </si>
  <si>
    <t xml:space="preserve">Achieved</t>
  </si>
  <si>
    <t xml:space="preserve">Phase 2 — Planning
(2026-09-16 to 2026-10-02)</t>
  </si>
  <si>
    <t xml:space="preserve">    •  2.1  Develop Work Breakdown Structure</t>
  </si>
  <si>
    <t xml:space="preserve">2026-09-16</t>
  </si>
  <si>
    <t xml:space="preserve">2026-09-18</t>
  </si>
  <si>
    <t xml:space="preserve">1.4; 1.5</t>
  </si>
  <si>
    <t xml:space="preserve">    •  2.2  Develop project schedule (activity durations &amp; dependencies)</t>
  </si>
  <si>
    <t xml:space="preserve">2026-09-21</t>
  </si>
  <si>
    <t xml:space="preserve">2026-09-23</t>
  </si>
  <si>
    <t xml:space="preserve">2.1</t>
  </si>
  <si>
    <t xml:space="preserve">    •  2.3  Build network diagram &amp; critical path analysis</t>
  </si>
  <si>
    <t xml:space="preserve">2026-09-24</t>
  </si>
  <si>
    <t xml:space="preserve">2026-09-25</t>
  </si>
  <si>
    <t xml:space="preserve">2.2</t>
  </si>
  <si>
    <t xml:space="preserve">    •  2.4  Conduct schedule risk analysis</t>
  </si>
  <si>
    <t xml:space="preserve">2026-09-28</t>
  </si>
  <si>
    <t xml:space="preserve">2026-09-29</t>
  </si>
  <si>
    <t xml:space="preserve">2.3</t>
  </si>
  <si>
    <t xml:space="preserve">    •  2.5  Develop Resource Management Plan</t>
  </si>
  <si>
    <t xml:space="preserve">    •  2.6  Develop Communication Plan</t>
  </si>
  <si>
    <t xml:space="preserve">2026-09-17</t>
  </si>
  <si>
    <t xml:space="preserve">1.4</t>
  </si>
  <si>
    <t xml:space="preserve">    •  2.7  Develop Quality Management Plan</t>
  </si>
  <si>
    <t xml:space="preserve">    •  2.8  Develop cost baseline / Project Budget</t>
  </si>
  <si>
    <t xml:space="preserve">    •  2.9  Expand Risk Register &amp; Dependency Register to full planning detail</t>
  </si>
  <si>
    <t xml:space="preserve">2026-09-30</t>
  </si>
  <si>
    <t xml:space="preserve">2026-10-01</t>
  </si>
  <si>
    <t xml:space="preserve">2.4</t>
  </si>
  <si>
    <t xml:space="preserve">    •  2.10  Planning phase gate: baseline sign-off (scope, schedule, cost)</t>
  </si>
  <si>
    <t xml:space="preserve">2026-10-02</t>
  </si>
  <si>
    <t xml:space="preserve">2.4; 2.5; 2.6; 2.7; 2.8; 2.9</t>
  </si>
  <si>
    <t xml:space="preserve">Planning phase gate: baseline sign-off (scope, schedule, cost)</t>
  </si>
  <si>
    <t xml:space="preserve">Phase 3 — Analysis &amp; Data Preparation
(2026-10-05 to 2026-10-14)</t>
  </si>
  <si>
    <t xml:space="preserve">    •  3.1  Data quality assessment &amp; cleaning</t>
  </si>
  <si>
    <t xml:space="preserve">2026-10-05</t>
  </si>
  <si>
    <t xml:space="preserve">2026-10-09</t>
  </si>
  <si>
    <t xml:space="preserve">2.10</t>
  </si>
  <si>
    <t xml:space="preserve">    •  3.2  Exploratory data analysis &amp; KPI definition</t>
  </si>
  <si>
    <t xml:space="preserve">    •  3.3  Confirm/construct unified patient identifier</t>
  </si>
  <si>
    <t xml:space="preserve">    •  3.4  Define no-show prediction problem</t>
  </si>
  <si>
    <t xml:space="preserve">2026-10-12</t>
  </si>
  <si>
    <t xml:space="preserve">2026-10-14</t>
  </si>
  <si>
    <t xml:space="preserve">3.1; 3.2; 3.3</t>
  </si>
  <si>
    <t xml:space="preserve">No-show prediction problem formally defined</t>
  </si>
  <si>
    <t xml:space="preserve">Achieved — validated Week 7</t>
  </si>
  <si>
    <t xml:space="preserve">Phase 4 — Solution Design
(2026-10-15 to 2026-10-28)</t>
  </si>
  <si>
    <t xml:space="preserve">    •  4.1  Model design &amp; validation approach</t>
  </si>
  <si>
    <t xml:space="preserve">2026-10-15</t>
  </si>
  <si>
    <t xml:space="preserve">2026-10-20</t>
  </si>
  <si>
    <t xml:space="preserve">In Progress</t>
  </si>
  <si>
    <t xml:space="preserve">3.4</t>
  </si>
  <si>
    <t xml:space="preserve">    •  4.2  Segmentation design</t>
  </si>
  <si>
    <t xml:space="preserve">    •  4.3  ML system architecture &amp; reproducibility design</t>
  </si>
  <si>
    <t xml:space="preserve">2026-10-21</t>
  </si>
  <si>
    <t xml:space="preserve">2026-10-27</t>
  </si>
  <si>
    <t xml:space="preserve">4.1; 4.2</t>
  </si>
  <si>
    <t xml:space="preserve">    •  4.4  GenAI assistant scope &amp; safety boundaries</t>
  </si>
  <si>
    <t xml:space="preserve">    •  4.5  Dashboard/report design</t>
  </si>
  <si>
    <t xml:space="preserve">    •  4.6  Phase gate: design review &amp; Sponsor go/no-go</t>
  </si>
  <si>
    <t xml:space="preserve">2026-10-28</t>
  </si>
  <si>
    <t xml:space="preserve">4.3; 4.4; 4.5</t>
  </si>
  <si>
    <t xml:space="preserve">Design approved at Phase Gate (Sponsor go/no-go)</t>
  </si>
  <si>
    <t xml:space="preserve">Not due</t>
  </si>
  <si>
    <t xml:space="preserve">Phase 5 — Model &amp; Assistant Development
(2026-10-29 to 2027-02-04)</t>
  </si>
  <si>
    <t xml:space="preserve">    •  5.1  Build &amp; iteratively test no-show prediction model</t>
  </si>
  <si>
    <t xml:space="preserve">2026-10-29</t>
  </si>
  <si>
    <t xml:space="preserve">2027-01-20</t>
  </si>
  <si>
    <t xml:space="preserve">Not Started</t>
  </si>
  <si>
    <t xml:space="preserve">4.6</t>
  </si>
  <si>
    <t xml:space="preserve">    •  5.2  Build data integration / pipeline</t>
  </si>
  <si>
    <t xml:space="preserve">2026-11-25</t>
  </si>
  <si>
    <t xml:space="preserve">    •  5.3  Build reproducible ML pipeline &amp; version control</t>
  </si>
  <si>
    <t xml:space="preserve">2026-11-26</t>
  </si>
  <si>
    <t xml:space="preserve">5.2</t>
  </si>
  <si>
    <t xml:space="preserve">    •  5.4  Build GenAI assistant prototype</t>
  </si>
  <si>
    <t xml:space="preserve">2027-02-03</t>
  </si>
  <si>
    <t xml:space="preserve">    •  5.5  Build dashboard/reporting</t>
  </si>
  <si>
    <t xml:space="preserve">2027-01-13</t>
  </si>
  <si>
    <t xml:space="preserve">    •  5.6  Mid-development integration checkpoint</t>
  </si>
  <si>
    <t xml:space="preserve">2027-02-04</t>
  </si>
  <si>
    <t xml:space="preserve">5.1; 5.3; 5.4; 5.5</t>
  </si>
  <si>
    <t xml:space="preserve">Mid-development integration checkpoint</t>
  </si>
  <si>
    <t xml:space="preserve">Phase 6 — Pilot Campaign
(2027-02-05 to 2027-02-19)</t>
  </si>
  <si>
    <t xml:space="preserve">    •  6.1  Validate segments with clinic staff</t>
  </si>
  <si>
    <t xml:space="preserve">2027-02-05</t>
  </si>
  <si>
    <t xml:space="preserve">2027-02-08</t>
  </si>
  <si>
    <t xml:space="preserve">5.6</t>
  </si>
  <si>
    <t xml:space="preserve">    •  6.2  Train staff on dashboard &amp; flagged-patient process</t>
  </si>
  <si>
    <t xml:space="preserve">2027-02-09</t>
  </si>
  <si>
    <t xml:space="preserve">2027-02-11</t>
  </si>
  <si>
    <t xml:space="preserve">6.1</t>
  </si>
  <si>
    <t xml:space="preserve">    •  6.3  Run pilot reminder/retention campaign</t>
  </si>
  <si>
    <t xml:space="preserve">2027-02-12</t>
  </si>
  <si>
    <t xml:space="preserve">2027-02-18</t>
  </si>
  <si>
    <t xml:space="preserve">6.2</t>
  </si>
  <si>
    <t xml:space="preserve">    •  6.4  Measure pilot results vs. control group</t>
  </si>
  <si>
    <t xml:space="preserve">2027-02-19</t>
  </si>
  <si>
    <t xml:space="preserve">6.3</t>
  </si>
  <si>
    <t xml:space="preserve">Pilot results measured against control group</t>
  </si>
  <si>
    <t xml:space="preserve">Phase 7 — Testing, Deployment &amp; Monitoring
(2027-02-22 to 2027-03-10)</t>
  </si>
  <si>
    <t xml:space="preserve">    •  7.1  Model validation against test data &amp; KPI targets</t>
  </si>
  <si>
    <t xml:space="preserve">2027-02-22</t>
  </si>
  <si>
    <t xml:space="preserve">2027-02-24</t>
  </si>
  <si>
    <t xml:space="preserve">6.4</t>
  </si>
  <si>
    <t xml:space="preserve">    •  7.2  Assistant safety &amp; scope testing</t>
  </si>
  <si>
    <t xml:space="preserve">    •  7.3  Production deployment</t>
  </si>
  <si>
    <t xml:space="preserve">2027-02-25</t>
  </si>
  <si>
    <t xml:space="preserve">2027-03-03</t>
  </si>
  <si>
    <t xml:space="preserve">7.1; 7.2</t>
  </si>
  <si>
    <t xml:space="preserve">    •  7.4  Establish monitoring &amp; retraining schedule</t>
  </si>
  <si>
    <t xml:space="preserve">2027-03-04</t>
  </si>
  <si>
    <t xml:space="preserve">2027-03-10</t>
  </si>
  <si>
    <t xml:space="preserve">7.3</t>
  </si>
  <si>
    <t xml:space="preserve">Model and assistant live in production</t>
  </si>
  <si>
    <t xml:space="preserve">Phase 8 — Operational Handover &amp; Closure
(2027-03-11 to 2027-03-17)</t>
  </si>
  <si>
    <t xml:space="preserve">    •  8.1  Train internal IT/Data team</t>
  </si>
  <si>
    <t xml:space="preserve">2027-03-11</t>
  </si>
  <si>
    <t xml:space="preserve">2027-03-15</t>
  </si>
  <si>
    <t xml:space="preserve">7.4</t>
  </si>
  <si>
    <t xml:space="preserve">    •  8.2  Final presentation &amp; documentation handover</t>
  </si>
  <si>
    <t xml:space="preserve">2027-03-16</t>
  </si>
  <si>
    <t xml:space="preserve">8.1</t>
  </si>
  <si>
    <t xml:space="preserve">    •  8.3  Project closure &amp; lessons learned</t>
  </si>
  <si>
    <t xml:space="preserve">2027-03-17</t>
  </si>
  <si>
    <t xml:space="preserve">8.2</t>
  </si>
  <si>
    <t xml:space="preserve">Operational handover complete; project closed</t>
  </si>
  <si>
    <t xml:space="preserve">HealthConnect Project — Testing Activity Tracker (Week 7)</t>
  </si>
  <si>
    <t xml:space="preserve">Cross-workstream testing activities, status, and dependencies between them</t>
  </si>
  <si>
    <t xml:space="preserve">ID</t>
  </si>
  <si>
    <t xml:space="preserve">Testing Activity</t>
  </si>
  <si>
    <t xml:space="preserve">Notes</t>
  </si>
  <si>
    <t xml:space="preserve">TA-01</t>
  </si>
  <si>
    <t xml:space="preserve">Validate fallback patient-identifier approach at full Phase 3 data scale</t>
  </si>
  <si>
    <t xml:space="preserve">Data Analytics / PM</t>
  </si>
  <si>
    <t xml:space="preserve">Data Analyst / Project Manager</t>
  </si>
  <si>
    <t xml:space="preserve">See Testing &amp; Validation Record TR-01</t>
  </si>
  <si>
    <t xml:space="preserve">TA-02</t>
  </si>
  <si>
    <t xml:space="preserve">Validate KPI calculations and dashboard values against underlying data</t>
  </si>
  <si>
    <t xml:space="preserve">Feeds TA-01 and the Risk Register update</t>
  </si>
  <si>
    <t xml:space="preserve">TA-03</t>
  </si>
  <si>
    <t xml:space="preserve">Test candidate no-show model on held-out data; compare to Week 5 baseline</t>
  </si>
  <si>
    <t xml:space="preserve">TA-02 (validated features)</t>
  </si>
  <si>
    <t xml:space="preserve">Reported to PM for schedule tracking only</t>
  </si>
  <si>
    <t xml:space="preserve">TA-04</t>
  </si>
  <si>
    <t xml:space="preserve">Test integrated ML pipeline input/output validation and error handling</t>
  </si>
  <si>
    <t xml:space="preserve">TA-03 (candidate model)</t>
  </si>
  <si>
    <t xml:space="preserve">Blocked until model finalised</t>
  </si>
  <si>
    <t xml:space="preserve">TA-05</t>
  </si>
  <si>
    <t xml:space="preserve">Test assistant against expanded scenario set (ambiguous, unsupported, escalation)</t>
  </si>
  <si>
    <t xml:space="preserve">Generative AI / PM</t>
  </si>
  <si>
    <t xml:space="preserve">Generative AI Developer / Project Manager</t>
  </si>
  <si>
    <t xml:space="preserve">See Testing &amp; Validation Record TR-02</t>
  </si>
  <si>
    <t xml:space="preserve">TA-06</t>
  </si>
  <si>
    <t xml:space="preserve">Validate that Week 6 IT Lead capacity escalation (DEP-009) has a resourcing decision</t>
  </si>
  <si>
    <t xml:space="preserve">IT / PM</t>
  </si>
  <si>
    <t xml:space="preserve">Open</t>
  </si>
  <si>
    <t xml:space="preserve">Still awaiting Sponsor decision — see Issue Log</t>
  </si>
  <si>
    <t xml:space="preserve">HealthConnect Project — Integration &amp; Issue Log (Week 7)</t>
  </si>
  <si>
    <t xml:space="preserve">Issues found during testing, with assigned owners and tracked status</t>
  </si>
  <si>
    <t xml:space="preserve">Issue</t>
  </si>
  <si>
    <t xml:space="preserve">Found During</t>
  </si>
  <si>
    <t xml:space="preserve">Tracks Affected</t>
  </si>
  <si>
    <t xml:space="preserve">Severity</t>
  </si>
  <si>
    <t xml:space="preserve">Action Taken</t>
  </si>
  <si>
    <t xml:space="preserve">Retest Result</t>
  </si>
  <si>
    <t xml:space="preserve">ISS-05</t>
  </si>
  <si>
    <t xml:space="preserve">A small subset of records lack enough matching fields even for the fallback patient identifier</t>
  </si>
  <si>
    <t xml:space="preserve">TA-01 (Data Analytics identifier validation)</t>
  </si>
  <si>
    <t xml:space="preserve">Data Analytics, Data Engineering</t>
  </si>
  <si>
    <t xml:space="preserve">Low</t>
  </si>
  <si>
    <t xml:space="preserve">Resolved</t>
  </si>
  <si>
    <t xml:space="preserve">Data Analytics quantified the affected subset and proposed an exclusion/handling rule</t>
  </si>
  <si>
    <t xml:space="preserve">Retested — affected subset reduced to a negligible, documented level</t>
  </si>
  <si>
    <t xml:space="preserve">ISS-06</t>
  </si>
  <si>
    <t xml:space="preserve">Assistant gave inconsistent responses to ambiguous multi-part questions</t>
  </si>
  <si>
    <t xml:space="preserve">TA-05 (Generative AI expanded testing)</t>
  </si>
  <si>
    <t xml:space="preserve">Generative AI refined prompt handling for multi-part questions</t>
  </si>
  <si>
    <t xml:space="preserve">Retested — consistency confirmed across the expanded scenario set</t>
  </si>
  <si>
    <t xml:space="preserve">ISS-07</t>
  </si>
  <si>
    <t xml:space="preserve">IT Lead capacity conflict still unresolved; no Sponsor decision yet</t>
  </si>
  <si>
    <t xml:space="preserve">TA-06 (dependency validation)</t>
  </si>
  <si>
    <t xml:space="preserve">IT, Data Engineering</t>
  </si>
  <si>
    <t xml:space="preserve">Medium</t>
  </si>
  <si>
    <t xml:space="preserve">Re-escalated to Sponsor with a specific deadline requested</t>
  </si>
  <si>
    <t xml:space="preserve">Not yet retested — pending Sponsor response</t>
  </si>
  <si>
    <t xml:space="preserve">ISS-08</t>
  </si>
  <si>
    <t xml:space="preserve">Data Science model comparison still in progress; model interface (DEP-011) remains undefined</t>
  </si>
  <si>
    <t xml:space="preserve">TA-03 (model testing, in progress)</t>
  </si>
  <si>
    <t xml:space="preserve">Data Science, ML Engineering</t>
  </si>
  <si>
    <t xml:space="preserve">Monitoring; no action needed until Data Science completes comparison</t>
  </si>
  <si>
    <t xml:space="preserve">N/A — not yet due</t>
  </si>
  <si>
    <t xml:space="preserve">Data Scientist / ML Engineer</t>
  </si>
  <si>
    <t xml:space="preserve">HealthConnect Project — Updated Risk Register (Week 7 Checkpoint)</t>
  </si>
  <si>
    <t xml:space="preserve">Risk Score = Likelihood value × Impact value (see scale, cols K:L). Statuses updated following Week 7 testing.</t>
  </si>
  <si>
    <t xml:space="preserve">Risk Description</t>
  </si>
  <si>
    <t xml:space="preserve">Category</t>
  </si>
  <si>
    <t xml:space="preserve">Likelihood</t>
  </si>
  <si>
    <t xml:space="preserve">Impact</t>
  </si>
  <si>
    <t xml:space="preserve">Risk Score</t>
  </si>
  <si>
    <t xml:space="preserve">Mitigation Strategy</t>
  </si>
  <si>
    <t xml:space="preserve">Scale</t>
  </si>
  <si>
    <t xml:space="preserve">R1</t>
  </si>
  <si>
    <t xml:space="preserve">Data quality issues in the appointment dataset (missing, inconsistent, or unclear fields)</t>
  </si>
  <si>
    <t xml:space="preserve">Data</t>
  </si>
  <si>
    <t xml:space="preserve">Validated at full Phase 3 scale in Week 7 (TA-01); residual subset issue resolved via exclusion rule (ISS-05)</t>
  </si>
  <si>
    <t xml:space="preserve">Data Engineer</t>
  </si>
  <si>
    <t xml:space="preserve">Validated — confirmed manageable at scale</t>
  </si>
  <si>
    <t xml:space="preserve">Level</t>
  </si>
  <si>
    <t xml:space="preserve">Value</t>
  </si>
  <si>
    <t xml:space="preserve">R2</t>
  </si>
  <si>
    <t xml:space="preserve">No-show prediction model accuracy falls below the 75% target</t>
  </si>
  <si>
    <t xml:space="preserve">Model</t>
  </si>
  <si>
    <t xml:space="preserve">High</t>
  </si>
  <si>
    <t xml:space="preserve">Testing under way against held-out data (TA-03); result pending</t>
  </si>
  <si>
    <t xml:space="preserve">Testing in progress</t>
  </si>
  <si>
    <t xml:space="preserve">R3</t>
  </si>
  <si>
    <t xml:space="preserve">Low staff adoption of at-risk patient flags and reminder recommendations</t>
  </si>
  <si>
    <t xml:space="preserve">Adoption</t>
  </si>
  <si>
    <t xml:space="preserve">Early staff involvement in segment validation and structured training planned for Phase 6</t>
  </si>
  <si>
    <t xml:space="preserve">R4</t>
  </si>
  <si>
    <t xml:space="preserve">Generative AI assistant produces out-of-scope or unsafe responses (e.g., clinical advice)</t>
  </si>
  <si>
    <t xml:space="preserve">Safety / Compliance</t>
  </si>
  <si>
    <t xml:space="preserve">Retested in Week 7 against an expanded, harder scenario set (TA-05); minor consistency issue found and resolved (ISS-06)</t>
  </si>
  <si>
    <t xml:space="preserve">Validated — confirmed under harder testing</t>
  </si>
  <si>
    <t xml:space="preserve">R5</t>
  </si>
  <si>
    <t xml:space="preserve">Insufficient internal capacity at HealthConnect to sustain monitoring and retraining after handover</t>
  </si>
  <si>
    <t xml:space="preserve">Operational</t>
  </si>
  <si>
    <t xml:space="preserve">Confirm internal team availability ahead of Phase 8</t>
  </si>
  <si>
    <t xml:space="preserve">R6</t>
  </si>
  <si>
    <t xml:space="preserve">Data privacy / POPIA compliance exposure given health-related patient data</t>
  </si>
  <si>
    <t xml:space="preserve">Compliance</t>
  </si>
  <si>
    <t xml:space="preserve">Compliance Officer sign-off at each phase gate</t>
  </si>
  <si>
    <t xml:space="preserve">Compliance Officer</t>
  </si>
  <si>
    <t xml:space="preserve">Monitoring</t>
  </si>
  <si>
    <t xml:space="preserve">R7</t>
  </si>
  <si>
    <t xml:space="preserve">Schedule pressure from the December office closure falling within the project timeline</t>
  </si>
  <si>
    <t xml:space="preserve">Schedule</t>
  </si>
  <si>
    <t xml:space="preserve">December fully excluded from the active schedule; work resumes after the recess with buffer</t>
  </si>
  <si>
    <t xml:space="preserve">R8</t>
  </si>
  <si>
    <t xml:space="preserve">Dependency on third-party LLM/API availability, rate limits, or cost for the assistant</t>
  </si>
  <si>
    <t xml:space="preserve">Technical / Vendor</t>
  </si>
  <si>
    <t xml:space="preserve">Early API access testing; fallback/offline model option identified</t>
  </si>
  <si>
    <t xml:space="preserve">IT Lead</t>
  </si>
  <si>
    <t xml:space="preserve">R9</t>
  </si>
  <si>
    <t xml:space="preserve">Scope creep beyond the agreed prototype/pilot boundary into full production rollout without sign-off</t>
  </si>
  <si>
    <t xml:space="preserve">Scope</t>
  </si>
  <si>
    <t xml:space="preserve">Reinforce Scope Statement; Sponsor sign-off required through change control for any scope change</t>
  </si>
  <si>
    <t xml:space="preserve">R10</t>
  </si>
  <si>
    <t xml:space="preserve">Budget overrun beyond the approved contingency due to unforeseen integration complexity</t>
  </si>
  <si>
    <t xml:space="preserve">Financial</t>
  </si>
  <si>
    <t xml:space="preserve">Weekly budget tracking; contingency draws logged and approved per the authority matrix</t>
  </si>
  <si>
    <t xml:space="preserve">R12</t>
  </si>
  <si>
    <t xml:space="preserve">IT Lead has a capacity conflict with commitments outside the project, risking delays to identifier resolution and deployment support</t>
  </si>
  <si>
    <t xml:space="preserve">Resource</t>
  </si>
  <si>
    <t xml:space="preserve">Re-escalated to Sponsor this week with a specific deadline requested (ISS-07)</t>
  </si>
  <si>
    <t xml:space="preserve">Escalated — unresolved</t>
  </si>
  <si>
    <t xml:space="preserve">R14</t>
  </si>
  <si>
    <t xml:space="preserve">Data Science model interface not yet finalised, which may delay ML Engineering's pipeline integration scoping</t>
  </si>
  <si>
    <t xml:space="preserve">Technical / Integration</t>
  </si>
  <si>
    <t xml:space="preserve">Monitoring; not yet a blocker (ISS-08)</t>
  </si>
  <si>
    <t xml:space="preserve">R15</t>
  </si>
  <si>
    <t xml:space="preserve">A small subset of appointment records cannot be matched even with the fallback identifier</t>
  </si>
  <si>
    <t xml:space="preserve">Exclusion rule applied and validated in Week 7 (ISS-05)</t>
  </si>
  <si>
    <t xml:space="preserve">Closed — resolved and retested</t>
  </si>
  <si>
    <t xml:space="preserve">R16</t>
  </si>
  <si>
    <t xml:space="preserve">Assistant inconsistency on ambiguous multi-part questions</t>
  </si>
  <si>
    <t xml:space="preserve">Safety / Reliability</t>
  </si>
  <si>
    <t xml:space="preserve">Prompt refinement applied and validated in Week 7 (ISS-06)</t>
  </si>
  <si>
    <t xml:space="preserve">HealthConnect Project — Updated Dependency Register (Week 7 Checkpoint)</t>
  </si>
  <si>
    <t xml:space="preserve">Tracked separately from the Risk Register</t>
  </si>
  <si>
    <t xml:space="preserve">Dependency ID</t>
  </si>
  <si>
    <t xml:space="preserve">Dependency / Description</t>
  </si>
  <si>
    <t xml:space="preserve">Dependent Activity/Task</t>
  </si>
  <si>
    <t xml:space="preserve">Dependency Type</t>
  </si>
  <si>
    <t xml:space="preserve">Source / Owner</t>
  </si>
  <si>
    <t xml:space="preserve">Required By</t>
  </si>
  <si>
    <t xml:space="preserve">Impact if Delayed</t>
  </si>
  <si>
    <t xml:space="preserve">Criticality</t>
  </si>
  <si>
    <t xml:space="preserve">Mitigation / Action</t>
  </si>
  <si>
    <t xml:space="preserve">Responsible Person</t>
  </si>
  <si>
    <t xml:space="preserve">DEP-002</t>
  </si>
  <si>
    <t xml:space="preserve">A common (or derivable) patient identifier confirmed across scheduling and reminder records</t>
  </si>
  <si>
    <t xml:space="preserve">3.3 Confirm/construct unified patient identifier</t>
  </si>
  <si>
    <t xml:space="preserve">Technical</t>
  </si>
  <si>
    <t xml:space="preserve">Validated</t>
  </si>
  <si>
    <t xml:space="preserve">Data integration would require rework</t>
  </si>
  <si>
    <t xml:space="preserve">Critical</t>
  </si>
  <si>
    <t xml:space="preserve">Fallback linking key tested at full Phase 3 scale in Week 7 (TA-01)</t>
  </si>
  <si>
    <t xml:space="preserve">Upgraded from Mitigated to Validated following retest</t>
  </si>
  <si>
    <t xml:space="preserve">DEP-004</t>
  </si>
  <si>
    <t xml:space="preserve">Finalised, Sponsor-approved Clinic Knowledge Base scope for the patient information assistant</t>
  </si>
  <si>
    <t xml:space="preserve">4.4 GenAI assistant scope &amp; safety boundaries</t>
  </si>
  <si>
    <t xml:space="preserve">Content / Governance</t>
  </si>
  <si>
    <t xml:space="preserve">Assistant scope could remain unreliable under real use</t>
  </si>
  <si>
    <t xml:space="preserve">Retested against an expanded scenario set in Week 7 (TA-05)</t>
  </si>
  <si>
    <t xml:space="preserve">Upgraded from Complete to Validated following retest</t>
  </si>
  <si>
    <t xml:space="preserve">DEP-009</t>
  </si>
  <si>
    <t xml:space="preserve">Confirmed dedicated IT Lead capacity, prioritised against the IT Lead's other commitments</t>
  </si>
  <si>
    <t xml:space="preserve">3.3 Confirm/construct unified patient identifier; ongoing IT support</t>
  </si>
  <si>
    <t xml:space="preserve">IT Lead's Line Manager</t>
  </si>
  <si>
    <t xml:space="preserve">At Risk</t>
  </si>
  <si>
    <t xml:space="preserve">Identifier resolution and later deployment support both delayed</t>
  </si>
  <si>
    <t xml:space="preserve">Re-escalated to Sponsor this week with a specific deadline requested</t>
  </si>
  <si>
    <t xml:space="preserve">Unresolved for a second consecutive week</t>
  </si>
  <si>
    <t xml:space="preserve">DEP-011</t>
  </si>
  <si>
    <t xml:space="preserve">Data Science candidate model interface (input/output format) needed before pipeline integration work can begin</t>
  </si>
  <si>
    <t xml:space="preserve">5.3 Build reproducible ML pipeline &amp; version control</t>
  </si>
  <si>
    <t xml:space="preserve">TBD — Phase 5</t>
  </si>
  <si>
    <t xml:space="preserve">ML Engineering integration work blocked at the start of Phase 5</t>
  </si>
  <si>
    <t xml:space="preserve">Monitoring Data Science's model comparison progress</t>
  </si>
  <si>
    <t xml:space="preserve">Not yet due; not a current blocker</t>
  </si>
  <si>
    <t xml:space="preserve">HealthConnect Project — Decision Log (Week 7)</t>
  </si>
  <si>
    <t xml:space="preserve">Major project decisions made during testing and refinement</t>
  </si>
  <si>
    <t xml:space="preserve">Decision</t>
  </si>
  <si>
    <t xml:space="preserve">Rationale</t>
  </si>
  <si>
    <t xml:space="preserve">Made By</t>
  </si>
  <si>
    <t xml:space="preserve">Date</t>
  </si>
  <si>
    <t xml:space="preserve">DEC-05</t>
  </si>
  <si>
    <t xml:space="preserve">Apply a documented exclusion rule for the small subset of records the fallback identifier cannot match</t>
  </si>
  <si>
    <t xml:space="preserve">Testing at full Phase 3 scale (TA-01) found a narrow residual gap not visible in the Week 6 sample validation</t>
  </si>
  <si>
    <t xml:space="preserve">Project Manager, with Data Analyst</t>
  </si>
  <si>
    <t xml:space="preserve">DEP-002 upgraded to Validated; Phase 3 data preparation can close cleanly</t>
  </si>
  <si>
    <t xml:space="preserve">DEC-06</t>
  </si>
  <si>
    <t xml:space="preserve">Accept the Generative AI track's Week 7 retest results as confirming R4's downgrade</t>
  </si>
  <si>
    <t xml:space="preserve">Expanded, harder test set found only one minor consistency issue, which was resolved and retested</t>
  </si>
  <si>
    <t xml:space="preserve">DEP-004 upgraded to Validated; R4 stays at Low likelihood rather than reopening</t>
  </si>
  <si>
    <t xml:space="preserve">DEC-07</t>
  </si>
  <si>
    <t xml:space="preserve">Re-escalate the IT Lead capacity conflict to the Sponsor with a specific response deadline</t>
  </si>
  <si>
    <t xml:space="preserve">Second consecutive week without a resourcing decision; risk to Phase 7 deployment support is growing</t>
  </si>
  <si>
    <t xml:space="preserve">ISS-07 tracked as open with an explicit deadline rather than left indefinitely pending</t>
  </si>
  <si>
    <t xml:space="preserve">HealthConnect Project — Cross-Track Coordination Record (Week 7)</t>
  </si>
  <si>
    <t xml:space="preserve">Log of coordination touchpoints between tracks this week</t>
  </si>
  <si>
    <t xml:space="preserve">Tracks Involved</t>
  </si>
  <si>
    <t xml:space="preserve">Topic</t>
  </si>
  <si>
    <t xml:space="preserve">Outcome</t>
  </si>
  <si>
    <t xml:space="preserve">Evidence</t>
  </si>
  <si>
    <t xml:space="preserve">Follow-up Owner</t>
  </si>
  <si>
    <t xml:space="preserve">Project Management, Data Analytics</t>
  </si>
  <si>
    <t xml:space="preserve">Validating the fallback patient identifier at full Phase 3 scale</t>
  </si>
  <si>
    <t xml:space="preserve">Residual matching gap found and resolved via an exclusion rule; DEP-002 upgraded to Validated</t>
  </si>
  <si>
    <t xml:space="preserve">Testing &amp; Validation Record TR-01; Decision Log DEC-05</t>
  </si>
  <si>
    <t xml:space="preserve">Project Management, Generative AI</t>
  </si>
  <si>
    <t xml:space="preserve">Retesting assistant safety/consistency against an expanded scenario set</t>
  </si>
  <si>
    <t xml:space="preserve">Minor consistency issue found and resolved; DEP-004 upgraded to Validated</t>
  </si>
  <si>
    <t xml:space="preserve">Testing &amp; Validation Record TR-02; Decision Log DEC-06</t>
  </si>
  <si>
    <t xml:space="preserve">Project Management, IT</t>
  </si>
  <si>
    <t xml:space="preserve">Second check-in on the unresolved IT Lead capacity conflict</t>
  </si>
  <si>
    <t xml:space="preserve">Still unresolved; re-escalated to Sponsor with a specific deadline</t>
  </si>
  <si>
    <t xml:space="preserve">Decision Log DEC-07; Issue Log ISS-07</t>
  </si>
  <si>
    <t xml:space="preserve">Sponsor</t>
  </si>
  <si>
    <t xml:space="preserve">Project Management, Data Science</t>
  </si>
  <si>
    <t xml:space="preserve">Status check on model comparison progress ahead of the ML Engineering handoff</t>
  </si>
  <si>
    <t xml:space="preserve">In progress, on track; model interface (DEP-011) remains a monitored, non-blocking dependency</t>
  </si>
  <si>
    <t xml:space="preserve">Testing Activity Tracker TA-03; Issue Log ISS-08</t>
  </si>
  <si>
    <t xml:space="preserve">HealthConnect Project — Testing, Refinement &amp; Validation Record</t>
  </si>
  <si>
    <t xml:space="preserve">Format per assignment Section 12. Two cross-track entries (TR-01, TR-02) plus one PM-internal entry (TR-03).</t>
  </si>
  <si>
    <t xml:space="preserve">Component Tested</t>
  </si>
  <si>
    <t xml:space="preserve">Testing Objective</t>
  </si>
  <si>
    <t xml:space="preserve">Test/Scenario</t>
  </si>
  <si>
    <t xml:space="preserve">Expected Result</t>
  </si>
  <si>
    <t xml:space="preserve">Actual Result</t>
  </si>
  <si>
    <t xml:space="preserve">Pass/Fail</t>
  </si>
  <si>
    <t xml:space="preserve">Issue Identified</t>
  </si>
  <si>
    <t xml:space="preserve">Collaborating Track</t>
  </si>
  <si>
    <t xml:space="preserve">TR-01</t>
  </si>
  <si>
    <t xml:space="preserve">Fallback patient-identifier linking key (adopted Week 6, DEC-02)</t>
  </si>
  <si>
    <t xml:space="preserve">Determine whether the fallback identifier holds at full Phase 3 data scale, not just the Week 6 sample</t>
  </si>
  <si>
    <t xml:space="preserve">Apply the fallback identifier across the full Phase 3 dataset extract</t>
  </si>
  <si>
    <t xml:space="preserve">Identifier produces a usable, consistent patient-level match for effectively all records</t>
  </si>
  <si>
    <t xml:space="preserve">Worked for the large majority of records; a small subset lacked enough matching fields even for the fallback</t>
  </si>
  <si>
    <t xml:space="preserve">Partial Pass</t>
  </si>
  <si>
    <t xml:space="preserve">Small subset of records unmatched (ISS-05)</t>
  </si>
  <si>
    <t xml:space="preserve">Data Analytics quantified the subset and proposed a documented exclusion rule</t>
  </si>
  <si>
    <t xml:space="preserve">Retested — subset reduced to a negligible, documented level; approach confirmed workable</t>
  </si>
  <si>
    <t xml:space="preserve">Updated Risk Register (R1, R15); Dependency Register (DEP-002); Decision Log DEC-05</t>
  </si>
  <si>
    <t xml:space="preserve">TR-02</t>
  </si>
  <si>
    <t xml:space="preserve">Patient information assistant Knowledge-Base safety boundary (closed Week 6, DEP-004)</t>
  </si>
  <si>
    <t xml:space="preserve">Determine whether the assistant remains safe and consistent under a wider, harder test set than Week 6</t>
  </si>
  <si>
    <t xml:space="preserve">Run the expanded Week 7 scenario set: ambiguous, unsupported, escalation, and multi-part questions</t>
  </si>
  <si>
    <t xml:space="preserve">Assistant stays within the Knowledge Base, escalates correctly, and responds consistently across all scenario types</t>
  </si>
  <si>
    <t xml:space="preserve">Performed well on most new scenarios; inconsistent handling found on ambiguous multi-part questions</t>
  </si>
  <si>
    <t xml:space="preserve">Pass with Minor Finding</t>
  </si>
  <si>
    <t xml:space="preserve">Inconsistent responses to ambiguous multi-part questions (ISS-06)</t>
  </si>
  <si>
    <t xml:space="preserve">Updated Risk Register (R4, R16); Dependency Register (DEP-004); Decision Log DEC-06</t>
  </si>
  <si>
    <t xml:space="preserve">TR-03</t>
  </si>
  <si>
    <t xml:space="preserve">IT Lead resourcing dependency (escalated Week 6, DEP-009)</t>
  </si>
  <si>
    <t xml:space="preserve">Determine whether the Week 6 escalation produced a resourcing decision</t>
  </si>
  <si>
    <t xml:space="preserve">Follow up directly with the Sponsor on the outstanding decision</t>
  </si>
  <si>
    <t xml:space="preserve">A resourcing decision is made, resolving the capacity conflict</t>
  </si>
  <si>
    <t xml:space="preserve">No decision yet; conflict remains unresolved for a second consecutive week</t>
  </si>
  <si>
    <t xml:space="preserve">Fail</t>
  </si>
  <si>
    <t xml:space="preserve">Escalation did not produce a timely decision (ISS-07)</t>
  </si>
  <si>
    <t xml:space="preserve">Re-escalated with a specific response deadline attached</t>
  </si>
  <si>
    <t xml:space="preserve">IT</t>
  </si>
  <si>
    <t xml:space="preserve">HealthConnect Project — Week 8 Readiness Assessment</t>
  </si>
  <si>
    <t xml:space="preserve">Assessment of what is ready for Final Integration &amp; Presentation vs. what remains outstanding</t>
  </si>
  <si>
    <t xml:space="preserve">Area</t>
  </si>
  <si>
    <t xml:space="preserve">Readiness</t>
  </si>
  <si>
    <t xml:space="preserve">Basis</t>
  </si>
  <si>
    <t xml:space="preserve">Outstanding Action Before Week 8</t>
  </si>
  <si>
    <t xml:space="preserve">Data quality / patient identifier (DEP-002)</t>
  </si>
  <si>
    <t xml:space="preserve">Ready</t>
  </si>
  <si>
    <t xml:space="preserve">Validated at full Phase 3 scale (TR-01); exclusion rule documented and retested</t>
  </si>
  <si>
    <t xml:space="preserve">None</t>
  </si>
  <si>
    <t xml:space="preserve">Generative AI assistant safety scope (DEP-004)</t>
  </si>
  <si>
    <t xml:space="preserve">Retested against expanded scenario set (TR-02); minor issue resolved</t>
  </si>
  <si>
    <t xml:space="preserve">No-show prediction model</t>
  </si>
  <si>
    <t xml:space="preserve">Not yet ready</t>
  </si>
  <si>
    <t xml:space="preserve">Testing in progress (TA-03); result not yet available</t>
  </si>
  <si>
    <t xml:space="preserve">Complete model testing and report result to PM</t>
  </si>
  <si>
    <t xml:space="preserve">ML pipeline integration</t>
  </si>
  <si>
    <t xml:space="preserve">Blocked on model finalisation (TA-04)</t>
  </si>
  <si>
    <t xml:space="preserve">Cannot start until Data Science testing completes</t>
  </si>
  <si>
    <t xml:space="preserve">IT Lead resourcing / deployment support</t>
  </si>
  <si>
    <t xml:space="preserve">At risk</t>
  </si>
  <si>
    <t xml:space="preserve">Escalated twice without resolution (DEP-009, ISS-07)</t>
  </si>
  <si>
    <t xml:space="preserve">Sponsor decision required before Phase 7 deployment planning</t>
  </si>
  <si>
    <t xml:space="preserve">Overall schedule baseline</t>
  </si>
  <si>
    <t xml:space="preserve">On track</t>
  </si>
  <si>
    <t xml:space="preserve">No date changes this week; Phase 3 closed as planned</t>
  </si>
  <si>
    <t xml:space="preserve">Overall project alignment with HealthConnect objective</t>
  </si>
  <si>
    <t xml:space="preserve">All Week 7 activity traced back to reducing no-shows / improving patient support (see Part 2, task 18 in the report)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</si>
</sst>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BF8F0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E2EDB5"/>
          <bgColor rgb="FF000000"/>
        </patternFill>
      </fill>
    </dxf>
    <dxf>
      <fill>
        <patternFill patternType="solid">
          <fgColor rgb="FFFFDFA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5.0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35.05" hidden="false" customHeight="false" outlineLevel="0" collapsed="false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</row>
    <row r="7" customFormat="false" ht="23.8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19</v>
      </c>
    </row>
    <row r="8" customFormat="false" ht="23.85" hidden="false" customHeight="false" outlineLevel="0" collapsed="false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</row>
    <row r="9" customFormat="false" ht="23.85" hidden="false" customHeight="false" outlineLevel="0" collapsed="false">
      <c r="A9" s="4" t="s">
        <v>31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19</v>
      </c>
    </row>
  </sheetData>
  <autoFilter ref="A4:F9"/>
  <mergeCells count="2">
    <mergeCell ref="A1:F1"/>
    <mergeCell ref="A2:F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37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5</v>
      </c>
    </row>
    <row r="5" customFormat="false" ht="15" hidden="false" customHeight="true" outlineLevel="0" collapsed="false">
      <c r="A5" s="3" t="s">
        <v>44</v>
      </c>
      <c r="B5" s="5" t="s">
        <v>45</v>
      </c>
      <c r="C5" s="5"/>
      <c r="D5" s="5" t="s">
        <v>46</v>
      </c>
      <c r="E5" s="5" t="s">
        <v>47</v>
      </c>
      <c r="F5" s="6" t="s">
        <v>48</v>
      </c>
      <c r="G5" s="5" t="s">
        <v>49</v>
      </c>
    </row>
    <row r="6" customFormat="false" ht="15" hidden="false" customHeight="false" outlineLevel="0" collapsed="false">
      <c r="A6" s="3"/>
      <c r="B6" s="5" t="s">
        <v>50</v>
      </c>
      <c r="C6" s="5"/>
      <c r="D6" s="5" t="s">
        <v>46</v>
      </c>
      <c r="E6" s="5" t="s">
        <v>47</v>
      </c>
      <c r="F6" s="6" t="s">
        <v>48</v>
      </c>
      <c r="G6" s="5" t="s">
        <v>49</v>
      </c>
    </row>
    <row r="7" customFormat="false" ht="23.85" hidden="false" customHeight="false" outlineLevel="0" collapsed="false">
      <c r="A7" s="3"/>
      <c r="B7" s="5" t="s">
        <v>51</v>
      </c>
      <c r="C7" s="5"/>
      <c r="D7" s="5" t="s">
        <v>52</v>
      </c>
      <c r="E7" s="5" t="s">
        <v>53</v>
      </c>
      <c r="F7" s="6" t="s">
        <v>48</v>
      </c>
      <c r="G7" s="5" t="s">
        <v>54</v>
      </c>
    </row>
    <row r="8" customFormat="false" ht="15" hidden="false" customHeight="false" outlineLevel="0" collapsed="false">
      <c r="A8" s="3"/>
      <c r="B8" s="5" t="s">
        <v>55</v>
      </c>
      <c r="C8" s="5"/>
      <c r="D8" s="5" t="s">
        <v>56</v>
      </c>
      <c r="E8" s="5" t="s">
        <v>57</v>
      </c>
      <c r="F8" s="6" t="s">
        <v>48</v>
      </c>
      <c r="G8" s="5" t="s">
        <v>58</v>
      </c>
    </row>
    <row r="9" customFormat="false" ht="15" hidden="false" customHeight="false" outlineLevel="0" collapsed="false">
      <c r="A9" s="3"/>
      <c r="B9" s="5" t="s">
        <v>59</v>
      </c>
      <c r="C9" s="5"/>
      <c r="D9" s="5" t="s">
        <v>56</v>
      </c>
      <c r="E9" s="5" t="s">
        <v>57</v>
      </c>
      <c r="F9" s="6" t="s">
        <v>48</v>
      </c>
      <c r="G9" s="5" t="s">
        <v>58</v>
      </c>
    </row>
    <row r="10" customFormat="false" ht="15" hidden="false" customHeight="false" outlineLevel="0" collapsed="false">
      <c r="A10" s="3"/>
      <c r="B10" s="7" t="s">
        <v>40</v>
      </c>
      <c r="C10" s="7" t="s">
        <v>60</v>
      </c>
      <c r="D10" s="7" t="s">
        <v>57</v>
      </c>
      <c r="E10" s="7" t="s">
        <v>57</v>
      </c>
      <c r="F10" s="7" t="s">
        <v>61</v>
      </c>
      <c r="G10" s="7"/>
    </row>
    <row r="11" customFormat="false" ht="15" hidden="false" customHeight="true" outlineLevel="0" collapsed="false">
      <c r="A11" s="3" t="s">
        <v>62</v>
      </c>
      <c r="B11" s="4" t="s">
        <v>63</v>
      </c>
      <c r="C11" s="4"/>
      <c r="D11" s="4" t="s">
        <v>64</v>
      </c>
      <c r="E11" s="4" t="s">
        <v>65</v>
      </c>
      <c r="F11" s="6" t="s">
        <v>48</v>
      </c>
      <c r="G11" s="4" t="s">
        <v>66</v>
      </c>
    </row>
    <row r="12" customFormat="false" ht="23.85" hidden="false" customHeight="false" outlineLevel="0" collapsed="false">
      <c r="A12" s="3"/>
      <c r="B12" s="4" t="s">
        <v>67</v>
      </c>
      <c r="C12" s="4"/>
      <c r="D12" s="4" t="s">
        <v>68</v>
      </c>
      <c r="E12" s="4" t="s">
        <v>69</v>
      </c>
      <c r="F12" s="6" t="s">
        <v>48</v>
      </c>
      <c r="G12" s="4" t="s">
        <v>70</v>
      </c>
    </row>
    <row r="13" customFormat="false" ht="15" hidden="false" customHeight="false" outlineLevel="0" collapsed="false">
      <c r="A13" s="3"/>
      <c r="B13" s="4" t="s">
        <v>71</v>
      </c>
      <c r="C13" s="4"/>
      <c r="D13" s="4" t="s">
        <v>72</v>
      </c>
      <c r="E13" s="4" t="s">
        <v>73</v>
      </c>
      <c r="F13" s="6" t="s">
        <v>48</v>
      </c>
      <c r="G13" s="4" t="s">
        <v>74</v>
      </c>
    </row>
    <row r="14" customFormat="false" ht="15" hidden="false" customHeight="false" outlineLevel="0" collapsed="false">
      <c r="A14" s="3"/>
      <c r="B14" s="4" t="s">
        <v>75</v>
      </c>
      <c r="C14" s="4"/>
      <c r="D14" s="4" t="s">
        <v>76</v>
      </c>
      <c r="E14" s="4" t="s">
        <v>77</v>
      </c>
      <c r="F14" s="6" t="s">
        <v>48</v>
      </c>
      <c r="G14" s="4" t="s">
        <v>78</v>
      </c>
    </row>
    <row r="15" customFormat="false" ht="15" hidden="false" customHeight="false" outlineLevel="0" collapsed="false">
      <c r="A15" s="3"/>
      <c r="B15" s="4" t="s">
        <v>79</v>
      </c>
      <c r="C15" s="4"/>
      <c r="D15" s="4" t="s">
        <v>64</v>
      </c>
      <c r="E15" s="4" t="s">
        <v>65</v>
      </c>
      <c r="F15" s="6" t="s">
        <v>48</v>
      </c>
      <c r="G15" s="4" t="s">
        <v>66</v>
      </c>
    </row>
    <row r="16" customFormat="false" ht="15" hidden="false" customHeight="false" outlineLevel="0" collapsed="false">
      <c r="A16" s="3"/>
      <c r="B16" s="4" t="s">
        <v>80</v>
      </c>
      <c r="C16" s="4"/>
      <c r="D16" s="4" t="s">
        <v>64</v>
      </c>
      <c r="E16" s="4" t="s">
        <v>81</v>
      </c>
      <c r="F16" s="6" t="s">
        <v>48</v>
      </c>
      <c r="G16" s="4" t="s">
        <v>82</v>
      </c>
    </row>
    <row r="17" customFormat="false" ht="15" hidden="false" customHeight="false" outlineLevel="0" collapsed="false">
      <c r="A17" s="3"/>
      <c r="B17" s="4" t="s">
        <v>83</v>
      </c>
      <c r="C17" s="4"/>
      <c r="D17" s="4" t="s">
        <v>56</v>
      </c>
      <c r="E17" s="4" t="s">
        <v>57</v>
      </c>
      <c r="F17" s="6" t="s">
        <v>48</v>
      </c>
      <c r="G17" s="4" t="s">
        <v>58</v>
      </c>
    </row>
    <row r="18" customFormat="false" ht="15" hidden="false" customHeight="false" outlineLevel="0" collapsed="false">
      <c r="A18" s="3"/>
      <c r="B18" s="4" t="s">
        <v>84</v>
      </c>
      <c r="C18" s="4"/>
      <c r="D18" s="4" t="s">
        <v>72</v>
      </c>
      <c r="E18" s="4" t="s">
        <v>76</v>
      </c>
      <c r="F18" s="6" t="s">
        <v>48</v>
      </c>
      <c r="G18" s="4" t="s">
        <v>74</v>
      </c>
    </row>
    <row r="19" customFormat="false" ht="23.85" hidden="false" customHeight="false" outlineLevel="0" collapsed="false">
      <c r="A19" s="3"/>
      <c r="B19" s="4" t="s">
        <v>85</v>
      </c>
      <c r="C19" s="4"/>
      <c r="D19" s="4" t="s">
        <v>86</v>
      </c>
      <c r="E19" s="4" t="s">
        <v>87</v>
      </c>
      <c r="F19" s="6" t="s">
        <v>48</v>
      </c>
      <c r="G19" s="4" t="s">
        <v>88</v>
      </c>
    </row>
    <row r="20" customFormat="false" ht="23.85" hidden="false" customHeight="false" outlineLevel="0" collapsed="false">
      <c r="A20" s="3"/>
      <c r="B20" s="4" t="s">
        <v>89</v>
      </c>
      <c r="C20" s="4"/>
      <c r="D20" s="4" t="s">
        <v>90</v>
      </c>
      <c r="E20" s="4" t="s">
        <v>90</v>
      </c>
      <c r="F20" s="6" t="s">
        <v>48</v>
      </c>
      <c r="G20" s="4" t="s">
        <v>91</v>
      </c>
    </row>
    <row r="21" customFormat="false" ht="23.85" hidden="false" customHeight="false" outlineLevel="0" collapsed="false">
      <c r="A21" s="3"/>
      <c r="B21" s="7" t="s">
        <v>40</v>
      </c>
      <c r="C21" s="7" t="s">
        <v>92</v>
      </c>
      <c r="D21" s="7" t="s">
        <v>90</v>
      </c>
      <c r="E21" s="7" t="s">
        <v>90</v>
      </c>
      <c r="F21" s="7" t="s">
        <v>61</v>
      </c>
      <c r="G21" s="7"/>
    </row>
    <row r="22" customFormat="false" ht="15" hidden="false" customHeight="true" outlineLevel="0" collapsed="false">
      <c r="A22" s="3" t="s">
        <v>93</v>
      </c>
      <c r="B22" s="5" t="s">
        <v>94</v>
      </c>
      <c r="C22" s="5"/>
      <c r="D22" s="5" t="s">
        <v>95</v>
      </c>
      <c r="E22" s="5" t="s">
        <v>96</v>
      </c>
      <c r="F22" s="6" t="s">
        <v>48</v>
      </c>
      <c r="G22" s="5" t="s">
        <v>97</v>
      </c>
    </row>
    <row r="23" customFormat="false" ht="15" hidden="false" customHeight="false" outlineLevel="0" collapsed="false">
      <c r="A23" s="3"/>
      <c r="B23" s="5" t="s">
        <v>98</v>
      </c>
      <c r="C23" s="5"/>
      <c r="D23" s="5" t="s">
        <v>95</v>
      </c>
      <c r="E23" s="5" t="s">
        <v>96</v>
      </c>
      <c r="F23" s="6" t="s">
        <v>48</v>
      </c>
      <c r="G23" s="5" t="s">
        <v>97</v>
      </c>
    </row>
    <row r="24" customFormat="false" ht="15" hidden="false" customHeight="false" outlineLevel="0" collapsed="false">
      <c r="A24" s="3"/>
      <c r="B24" s="5" t="s">
        <v>99</v>
      </c>
      <c r="C24" s="5"/>
      <c r="D24" s="5" t="s">
        <v>95</v>
      </c>
      <c r="E24" s="5" t="s">
        <v>96</v>
      </c>
      <c r="F24" s="6" t="s">
        <v>48</v>
      </c>
      <c r="G24" s="5" t="s">
        <v>97</v>
      </c>
    </row>
    <row r="25" customFormat="false" ht="15" hidden="false" customHeight="false" outlineLevel="0" collapsed="false">
      <c r="A25" s="3"/>
      <c r="B25" s="5" t="s">
        <v>100</v>
      </c>
      <c r="C25" s="5"/>
      <c r="D25" s="5" t="s">
        <v>101</v>
      </c>
      <c r="E25" s="5" t="s">
        <v>102</v>
      </c>
      <c r="F25" s="6" t="s">
        <v>48</v>
      </c>
      <c r="G25" s="5" t="s">
        <v>103</v>
      </c>
    </row>
    <row r="26" customFormat="false" ht="23.85" hidden="false" customHeight="false" outlineLevel="0" collapsed="false">
      <c r="A26" s="3"/>
      <c r="B26" s="7" t="s">
        <v>40</v>
      </c>
      <c r="C26" s="7" t="s">
        <v>104</v>
      </c>
      <c r="D26" s="7" t="s">
        <v>102</v>
      </c>
      <c r="E26" s="7" t="s">
        <v>102</v>
      </c>
      <c r="F26" s="7" t="s">
        <v>105</v>
      </c>
      <c r="G26" s="7"/>
    </row>
    <row r="27" customFormat="false" ht="15" hidden="false" customHeight="true" outlineLevel="0" collapsed="false">
      <c r="A27" s="3" t="s">
        <v>106</v>
      </c>
      <c r="B27" s="4" t="s">
        <v>107</v>
      </c>
      <c r="C27" s="4"/>
      <c r="D27" s="4" t="s">
        <v>108</v>
      </c>
      <c r="E27" s="4" t="s">
        <v>109</v>
      </c>
      <c r="F27" s="8" t="s">
        <v>110</v>
      </c>
      <c r="G27" s="4" t="s">
        <v>111</v>
      </c>
    </row>
    <row r="28" customFormat="false" ht="15" hidden="false" customHeight="false" outlineLevel="0" collapsed="false">
      <c r="A28" s="3"/>
      <c r="B28" s="4" t="s">
        <v>112</v>
      </c>
      <c r="C28" s="4"/>
      <c r="D28" s="4" t="s">
        <v>108</v>
      </c>
      <c r="E28" s="4" t="s">
        <v>109</v>
      </c>
      <c r="F28" s="8" t="s">
        <v>110</v>
      </c>
      <c r="G28" s="4" t="s">
        <v>111</v>
      </c>
    </row>
    <row r="29" customFormat="false" ht="15" hidden="false" customHeight="false" outlineLevel="0" collapsed="false">
      <c r="A29" s="3"/>
      <c r="B29" s="4" t="s">
        <v>113</v>
      </c>
      <c r="C29" s="4"/>
      <c r="D29" s="4" t="s">
        <v>114</v>
      </c>
      <c r="E29" s="4" t="s">
        <v>115</v>
      </c>
      <c r="F29" s="8" t="s">
        <v>110</v>
      </c>
      <c r="G29" s="4" t="s">
        <v>116</v>
      </c>
    </row>
    <row r="30" customFormat="false" ht="15" hidden="false" customHeight="false" outlineLevel="0" collapsed="false">
      <c r="A30" s="3"/>
      <c r="B30" s="4" t="s">
        <v>117</v>
      </c>
      <c r="C30" s="4"/>
      <c r="D30" s="4" t="s">
        <v>114</v>
      </c>
      <c r="E30" s="4" t="s">
        <v>115</v>
      </c>
      <c r="F30" s="8" t="s">
        <v>110</v>
      </c>
      <c r="G30" s="4" t="s">
        <v>116</v>
      </c>
    </row>
    <row r="31" customFormat="false" ht="15" hidden="false" customHeight="false" outlineLevel="0" collapsed="false">
      <c r="A31" s="3"/>
      <c r="B31" s="4" t="s">
        <v>118</v>
      </c>
      <c r="C31" s="4"/>
      <c r="D31" s="4" t="s">
        <v>114</v>
      </c>
      <c r="E31" s="4" t="s">
        <v>115</v>
      </c>
      <c r="F31" s="8" t="s">
        <v>110</v>
      </c>
      <c r="G31" s="4" t="s">
        <v>116</v>
      </c>
    </row>
    <row r="32" customFormat="false" ht="15" hidden="false" customHeight="false" outlineLevel="0" collapsed="false">
      <c r="A32" s="3"/>
      <c r="B32" s="4" t="s">
        <v>119</v>
      </c>
      <c r="C32" s="4"/>
      <c r="D32" s="4" t="s">
        <v>120</v>
      </c>
      <c r="E32" s="4" t="s">
        <v>120</v>
      </c>
      <c r="F32" s="8" t="s">
        <v>110</v>
      </c>
      <c r="G32" s="4" t="s">
        <v>121</v>
      </c>
    </row>
    <row r="33" customFormat="false" ht="23.85" hidden="false" customHeight="false" outlineLevel="0" collapsed="false">
      <c r="A33" s="3"/>
      <c r="B33" s="7" t="s">
        <v>40</v>
      </c>
      <c r="C33" s="7" t="s">
        <v>122</v>
      </c>
      <c r="D33" s="7" t="s">
        <v>120</v>
      </c>
      <c r="E33" s="7" t="s">
        <v>120</v>
      </c>
      <c r="F33" s="7" t="s">
        <v>123</v>
      </c>
      <c r="G33" s="7"/>
    </row>
    <row r="34" customFormat="false" ht="23.85" hidden="false" customHeight="true" outlineLevel="0" collapsed="false">
      <c r="A34" s="3" t="s">
        <v>124</v>
      </c>
      <c r="B34" s="5" t="s">
        <v>125</v>
      </c>
      <c r="C34" s="5"/>
      <c r="D34" s="5" t="s">
        <v>126</v>
      </c>
      <c r="E34" s="5" t="s">
        <v>127</v>
      </c>
      <c r="F34" s="4" t="s">
        <v>128</v>
      </c>
      <c r="G34" s="5" t="s">
        <v>129</v>
      </c>
    </row>
    <row r="35" customFormat="false" ht="15" hidden="false" customHeight="false" outlineLevel="0" collapsed="false">
      <c r="A35" s="3"/>
      <c r="B35" s="5" t="s">
        <v>130</v>
      </c>
      <c r="C35" s="5"/>
      <c r="D35" s="5" t="s">
        <v>126</v>
      </c>
      <c r="E35" s="5" t="s">
        <v>131</v>
      </c>
      <c r="F35" s="4" t="s">
        <v>128</v>
      </c>
      <c r="G35" s="5" t="s">
        <v>129</v>
      </c>
    </row>
    <row r="36" customFormat="false" ht="15" hidden="false" customHeight="false" outlineLevel="0" collapsed="false">
      <c r="A36" s="3"/>
      <c r="B36" s="5" t="s">
        <v>132</v>
      </c>
      <c r="C36" s="5"/>
      <c r="D36" s="5" t="s">
        <v>133</v>
      </c>
      <c r="E36" s="5" t="s">
        <v>127</v>
      </c>
      <c r="F36" s="4" t="s">
        <v>128</v>
      </c>
      <c r="G36" s="5" t="s">
        <v>134</v>
      </c>
    </row>
    <row r="37" customFormat="false" ht="15" hidden="false" customHeight="false" outlineLevel="0" collapsed="false">
      <c r="A37" s="3"/>
      <c r="B37" s="5" t="s">
        <v>135</v>
      </c>
      <c r="C37" s="5"/>
      <c r="D37" s="5" t="s">
        <v>126</v>
      </c>
      <c r="E37" s="5" t="s">
        <v>136</v>
      </c>
      <c r="F37" s="4" t="s">
        <v>128</v>
      </c>
      <c r="G37" s="5" t="s">
        <v>129</v>
      </c>
    </row>
    <row r="38" customFormat="false" ht="15" hidden="false" customHeight="false" outlineLevel="0" collapsed="false">
      <c r="A38" s="3"/>
      <c r="B38" s="5" t="s">
        <v>137</v>
      </c>
      <c r="C38" s="5"/>
      <c r="D38" s="5" t="s">
        <v>133</v>
      </c>
      <c r="E38" s="5" t="s">
        <v>138</v>
      </c>
      <c r="F38" s="4" t="s">
        <v>128</v>
      </c>
      <c r="G38" s="5" t="s">
        <v>134</v>
      </c>
    </row>
    <row r="39" customFormat="false" ht="15" hidden="false" customHeight="false" outlineLevel="0" collapsed="false">
      <c r="A39" s="3"/>
      <c r="B39" s="5" t="s">
        <v>139</v>
      </c>
      <c r="C39" s="5"/>
      <c r="D39" s="5" t="s">
        <v>140</v>
      </c>
      <c r="E39" s="5" t="s">
        <v>140</v>
      </c>
      <c r="F39" s="4" t="s">
        <v>128</v>
      </c>
      <c r="G39" s="5" t="s">
        <v>141</v>
      </c>
    </row>
    <row r="40" customFormat="false" ht="23.85" hidden="false" customHeight="false" outlineLevel="0" collapsed="false">
      <c r="A40" s="3"/>
      <c r="B40" s="7" t="s">
        <v>40</v>
      </c>
      <c r="C40" s="7" t="s">
        <v>142</v>
      </c>
      <c r="D40" s="7" t="s">
        <v>140</v>
      </c>
      <c r="E40" s="7" t="s">
        <v>140</v>
      </c>
      <c r="F40" s="7" t="s">
        <v>123</v>
      </c>
      <c r="G40" s="7"/>
    </row>
    <row r="41" customFormat="false" ht="15" hidden="false" customHeight="true" outlineLevel="0" collapsed="false">
      <c r="A41" s="3" t="s">
        <v>143</v>
      </c>
      <c r="B41" s="4" t="s">
        <v>144</v>
      </c>
      <c r="C41" s="4"/>
      <c r="D41" s="4" t="s">
        <v>145</v>
      </c>
      <c r="E41" s="4" t="s">
        <v>146</v>
      </c>
      <c r="F41" s="4" t="s">
        <v>128</v>
      </c>
      <c r="G41" s="4" t="s">
        <v>147</v>
      </c>
    </row>
    <row r="42" customFormat="false" ht="23.85" hidden="false" customHeight="false" outlineLevel="0" collapsed="false">
      <c r="A42" s="3"/>
      <c r="B42" s="4" t="s">
        <v>148</v>
      </c>
      <c r="C42" s="4"/>
      <c r="D42" s="4" t="s">
        <v>149</v>
      </c>
      <c r="E42" s="4" t="s">
        <v>150</v>
      </c>
      <c r="F42" s="4" t="s">
        <v>128</v>
      </c>
      <c r="G42" s="4" t="s">
        <v>151</v>
      </c>
    </row>
    <row r="43" customFormat="false" ht="15" hidden="false" customHeight="false" outlineLevel="0" collapsed="false">
      <c r="A43" s="3"/>
      <c r="B43" s="4" t="s">
        <v>152</v>
      </c>
      <c r="C43" s="4"/>
      <c r="D43" s="4" t="s">
        <v>153</v>
      </c>
      <c r="E43" s="4" t="s">
        <v>154</v>
      </c>
      <c r="F43" s="4" t="s">
        <v>128</v>
      </c>
      <c r="G43" s="4" t="s">
        <v>155</v>
      </c>
    </row>
    <row r="44" customFormat="false" ht="15" hidden="false" customHeight="false" outlineLevel="0" collapsed="false">
      <c r="A44" s="3"/>
      <c r="B44" s="4" t="s">
        <v>156</v>
      </c>
      <c r="C44" s="4"/>
      <c r="D44" s="4" t="s">
        <v>157</v>
      </c>
      <c r="E44" s="4" t="s">
        <v>157</v>
      </c>
      <c r="F44" s="4" t="s">
        <v>128</v>
      </c>
      <c r="G44" s="4" t="s">
        <v>158</v>
      </c>
    </row>
    <row r="45" customFormat="false" ht="23.85" hidden="false" customHeight="false" outlineLevel="0" collapsed="false">
      <c r="A45" s="3"/>
      <c r="B45" s="7" t="s">
        <v>40</v>
      </c>
      <c r="C45" s="7" t="s">
        <v>159</v>
      </c>
      <c r="D45" s="7" t="s">
        <v>157</v>
      </c>
      <c r="E45" s="7" t="s">
        <v>157</v>
      </c>
      <c r="F45" s="7" t="s">
        <v>123</v>
      </c>
      <c r="G45" s="7"/>
    </row>
    <row r="46" customFormat="false" ht="15" hidden="false" customHeight="true" outlineLevel="0" collapsed="false">
      <c r="A46" s="3" t="s">
        <v>160</v>
      </c>
      <c r="B46" s="5" t="s">
        <v>161</v>
      </c>
      <c r="C46" s="5"/>
      <c r="D46" s="5" t="s">
        <v>162</v>
      </c>
      <c r="E46" s="5" t="s">
        <v>163</v>
      </c>
      <c r="F46" s="4" t="s">
        <v>128</v>
      </c>
      <c r="G46" s="5" t="s">
        <v>164</v>
      </c>
    </row>
    <row r="47" customFormat="false" ht="15" hidden="false" customHeight="false" outlineLevel="0" collapsed="false">
      <c r="A47" s="3"/>
      <c r="B47" s="5" t="s">
        <v>165</v>
      </c>
      <c r="C47" s="5"/>
      <c r="D47" s="5" t="s">
        <v>162</v>
      </c>
      <c r="E47" s="5" t="s">
        <v>163</v>
      </c>
      <c r="F47" s="4" t="s">
        <v>128</v>
      </c>
      <c r="G47" s="5" t="s">
        <v>164</v>
      </c>
    </row>
    <row r="48" customFormat="false" ht="15" hidden="false" customHeight="false" outlineLevel="0" collapsed="false">
      <c r="A48" s="3"/>
      <c r="B48" s="5" t="s">
        <v>166</v>
      </c>
      <c r="C48" s="5"/>
      <c r="D48" s="5" t="s">
        <v>167</v>
      </c>
      <c r="E48" s="5" t="s">
        <v>168</v>
      </c>
      <c r="F48" s="4" t="s">
        <v>128</v>
      </c>
      <c r="G48" s="5" t="s">
        <v>169</v>
      </c>
    </row>
    <row r="49" customFormat="false" ht="15" hidden="false" customHeight="false" outlineLevel="0" collapsed="false">
      <c r="A49" s="3"/>
      <c r="B49" s="5" t="s">
        <v>170</v>
      </c>
      <c r="C49" s="5"/>
      <c r="D49" s="5" t="s">
        <v>171</v>
      </c>
      <c r="E49" s="5" t="s">
        <v>172</v>
      </c>
      <c r="F49" s="4" t="s">
        <v>128</v>
      </c>
      <c r="G49" s="5" t="s">
        <v>173</v>
      </c>
    </row>
    <row r="50" customFormat="false" ht="15" hidden="false" customHeight="false" outlineLevel="0" collapsed="false">
      <c r="A50" s="3"/>
      <c r="B50" s="7" t="s">
        <v>40</v>
      </c>
      <c r="C50" s="7" t="s">
        <v>174</v>
      </c>
      <c r="D50" s="7" t="s">
        <v>172</v>
      </c>
      <c r="E50" s="7" t="s">
        <v>172</v>
      </c>
      <c r="F50" s="7" t="s">
        <v>123</v>
      </c>
      <c r="G50" s="7"/>
    </row>
    <row r="51" customFormat="false" ht="15" hidden="false" customHeight="true" outlineLevel="0" collapsed="false">
      <c r="A51" s="3" t="s">
        <v>175</v>
      </c>
      <c r="B51" s="4" t="s">
        <v>176</v>
      </c>
      <c r="C51" s="4"/>
      <c r="D51" s="4" t="s">
        <v>177</v>
      </c>
      <c r="E51" s="4" t="s">
        <v>178</v>
      </c>
      <c r="F51" s="4" t="s">
        <v>128</v>
      </c>
      <c r="G51" s="4" t="s">
        <v>179</v>
      </c>
    </row>
    <row r="52" customFormat="false" ht="15" hidden="false" customHeight="false" outlineLevel="0" collapsed="false">
      <c r="A52" s="3"/>
      <c r="B52" s="4" t="s">
        <v>180</v>
      </c>
      <c r="C52" s="4"/>
      <c r="D52" s="4" t="s">
        <v>181</v>
      </c>
      <c r="E52" s="4" t="s">
        <v>181</v>
      </c>
      <c r="F52" s="4" t="s">
        <v>128</v>
      </c>
      <c r="G52" s="4" t="s">
        <v>182</v>
      </c>
    </row>
    <row r="53" customFormat="false" ht="15" hidden="false" customHeight="false" outlineLevel="0" collapsed="false">
      <c r="A53" s="3"/>
      <c r="B53" s="4" t="s">
        <v>183</v>
      </c>
      <c r="C53" s="4"/>
      <c r="D53" s="4" t="s">
        <v>184</v>
      </c>
      <c r="E53" s="4" t="s">
        <v>184</v>
      </c>
      <c r="F53" s="4" t="s">
        <v>128</v>
      </c>
      <c r="G53" s="4" t="s">
        <v>185</v>
      </c>
    </row>
    <row r="54" customFormat="false" ht="23.85" hidden="false" customHeight="false" outlineLevel="0" collapsed="false">
      <c r="A54" s="3"/>
      <c r="B54" s="7" t="s">
        <v>40</v>
      </c>
      <c r="C54" s="7" t="s">
        <v>186</v>
      </c>
      <c r="D54" s="7" t="s">
        <v>184</v>
      </c>
      <c r="E54" s="7" t="s">
        <v>184</v>
      </c>
      <c r="F54" s="7" t="s">
        <v>123</v>
      </c>
      <c r="G54" s="7"/>
    </row>
  </sheetData>
  <autoFilter ref="A4:G54"/>
  <mergeCells count="10">
    <mergeCell ref="A1:G1"/>
    <mergeCell ref="A2:G2"/>
    <mergeCell ref="A5:A10"/>
    <mergeCell ref="A11:A21"/>
    <mergeCell ref="A22:A26"/>
    <mergeCell ref="A27:A33"/>
    <mergeCell ref="A34:A40"/>
    <mergeCell ref="A41:A45"/>
    <mergeCell ref="A46:A50"/>
    <mergeCell ref="A51:A5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" t="s">
        <v>187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188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189</v>
      </c>
      <c r="B4" s="3" t="s">
        <v>190</v>
      </c>
      <c r="C4" s="3" t="s">
        <v>2</v>
      </c>
      <c r="D4" s="3" t="s">
        <v>5</v>
      </c>
      <c r="E4" s="3" t="s">
        <v>43</v>
      </c>
      <c r="F4" s="3" t="s">
        <v>6</v>
      </c>
      <c r="G4" s="3" t="s">
        <v>191</v>
      </c>
    </row>
    <row r="5" customFormat="false" ht="23.85" hidden="false" customHeight="false" outlineLevel="0" collapsed="false">
      <c r="A5" s="4" t="s">
        <v>192</v>
      </c>
      <c r="B5" s="4" t="s">
        <v>193</v>
      </c>
      <c r="C5" s="4" t="s">
        <v>194</v>
      </c>
      <c r="D5" s="4" t="s">
        <v>49</v>
      </c>
      <c r="E5" s="6" t="s">
        <v>48</v>
      </c>
      <c r="F5" s="4" t="s">
        <v>195</v>
      </c>
      <c r="G5" s="4" t="s">
        <v>196</v>
      </c>
    </row>
    <row r="6" customFormat="false" ht="23.85" hidden="false" customHeight="false" outlineLevel="0" collapsed="false">
      <c r="A6" s="5" t="s">
        <v>197</v>
      </c>
      <c r="B6" s="5" t="s">
        <v>198</v>
      </c>
      <c r="C6" s="5" t="s">
        <v>14</v>
      </c>
      <c r="D6" s="5" t="s">
        <v>49</v>
      </c>
      <c r="E6" s="6" t="s">
        <v>48</v>
      </c>
      <c r="F6" s="5" t="s">
        <v>18</v>
      </c>
      <c r="G6" s="5" t="s">
        <v>199</v>
      </c>
    </row>
    <row r="7" customFormat="false" ht="23.85" hidden="false" customHeight="false" outlineLevel="0" collapsed="false">
      <c r="A7" s="4" t="s">
        <v>200</v>
      </c>
      <c r="B7" s="4" t="s">
        <v>201</v>
      </c>
      <c r="C7" s="4" t="s">
        <v>20</v>
      </c>
      <c r="D7" s="4" t="s">
        <v>202</v>
      </c>
      <c r="E7" s="8" t="s">
        <v>110</v>
      </c>
      <c r="F7" s="4" t="s">
        <v>24</v>
      </c>
      <c r="G7" s="4" t="s">
        <v>203</v>
      </c>
    </row>
    <row r="8" customFormat="false" ht="23.85" hidden="false" customHeight="false" outlineLevel="0" collapsed="false">
      <c r="A8" s="5" t="s">
        <v>204</v>
      </c>
      <c r="B8" s="5" t="s">
        <v>205</v>
      </c>
      <c r="C8" s="5" t="s">
        <v>25</v>
      </c>
      <c r="D8" s="5" t="s">
        <v>206</v>
      </c>
      <c r="E8" s="5" t="s">
        <v>128</v>
      </c>
      <c r="F8" s="5" t="s">
        <v>29</v>
      </c>
      <c r="G8" s="5" t="s">
        <v>207</v>
      </c>
    </row>
    <row r="9" customFormat="false" ht="23.85" hidden="false" customHeight="false" outlineLevel="0" collapsed="false">
      <c r="A9" s="4" t="s">
        <v>208</v>
      </c>
      <c r="B9" s="4" t="s">
        <v>209</v>
      </c>
      <c r="C9" s="4" t="s">
        <v>210</v>
      </c>
      <c r="D9" s="4" t="s">
        <v>49</v>
      </c>
      <c r="E9" s="6" t="s">
        <v>48</v>
      </c>
      <c r="F9" s="4" t="s">
        <v>211</v>
      </c>
      <c r="G9" s="4" t="s">
        <v>212</v>
      </c>
    </row>
    <row r="10" customFormat="false" ht="23.85" hidden="false" customHeight="false" outlineLevel="0" collapsed="false">
      <c r="A10" s="5" t="s">
        <v>213</v>
      </c>
      <c r="B10" s="5" t="s">
        <v>214</v>
      </c>
      <c r="C10" s="5" t="s">
        <v>215</v>
      </c>
      <c r="D10" s="5" t="s">
        <v>49</v>
      </c>
      <c r="E10" s="9" t="s">
        <v>216</v>
      </c>
      <c r="F10" s="5" t="s">
        <v>12</v>
      </c>
      <c r="G10" s="5" t="s">
        <v>217</v>
      </c>
    </row>
  </sheetData>
  <autoFilter ref="A4:G10"/>
  <mergeCells count="2">
    <mergeCell ref="A1:G1"/>
    <mergeCell ref="A2:G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6" min="5" style="0" width="11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1" t="s">
        <v>218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219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189</v>
      </c>
      <c r="B4" s="3" t="s">
        <v>220</v>
      </c>
      <c r="C4" s="3" t="s">
        <v>221</v>
      </c>
      <c r="D4" s="3" t="s">
        <v>222</v>
      </c>
      <c r="E4" s="3" t="s">
        <v>223</v>
      </c>
      <c r="F4" s="3" t="s">
        <v>43</v>
      </c>
      <c r="G4" s="3" t="s">
        <v>224</v>
      </c>
      <c r="H4" s="3" t="s">
        <v>225</v>
      </c>
      <c r="I4" s="3" t="s">
        <v>6</v>
      </c>
    </row>
    <row r="5" customFormat="false" ht="35.05" hidden="false" customHeight="false" outlineLevel="0" collapsed="false">
      <c r="A5" s="4" t="s">
        <v>226</v>
      </c>
      <c r="B5" s="4" t="s">
        <v>227</v>
      </c>
      <c r="C5" s="4" t="s">
        <v>228</v>
      </c>
      <c r="D5" s="4" t="s">
        <v>229</v>
      </c>
      <c r="E5" s="6" t="s">
        <v>230</v>
      </c>
      <c r="F5" s="6" t="s">
        <v>231</v>
      </c>
      <c r="G5" s="4" t="s">
        <v>232</v>
      </c>
      <c r="H5" s="4" t="s">
        <v>233</v>
      </c>
      <c r="I5" s="4" t="s">
        <v>18</v>
      </c>
    </row>
    <row r="6" customFormat="false" ht="23.85" hidden="false" customHeight="false" outlineLevel="0" collapsed="false">
      <c r="A6" s="5" t="s">
        <v>234</v>
      </c>
      <c r="B6" s="5" t="s">
        <v>235</v>
      </c>
      <c r="C6" s="5" t="s">
        <v>236</v>
      </c>
      <c r="D6" s="5" t="s">
        <v>31</v>
      </c>
      <c r="E6" s="6" t="s">
        <v>230</v>
      </c>
      <c r="F6" s="6" t="s">
        <v>231</v>
      </c>
      <c r="G6" s="5" t="s">
        <v>237</v>
      </c>
      <c r="H6" s="5" t="s">
        <v>238</v>
      </c>
      <c r="I6" s="5" t="s">
        <v>35</v>
      </c>
    </row>
    <row r="7" customFormat="false" ht="23.85" hidden="false" customHeight="false" outlineLevel="0" collapsed="false">
      <c r="A7" s="4" t="s">
        <v>239</v>
      </c>
      <c r="B7" s="4" t="s">
        <v>240</v>
      </c>
      <c r="C7" s="4" t="s">
        <v>241</v>
      </c>
      <c r="D7" s="4" t="s">
        <v>242</v>
      </c>
      <c r="E7" s="8" t="s">
        <v>243</v>
      </c>
      <c r="F7" s="8" t="s">
        <v>216</v>
      </c>
      <c r="G7" s="4" t="s">
        <v>244</v>
      </c>
      <c r="H7" s="4" t="s">
        <v>245</v>
      </c>
      <c r="I7" s="4" t="s">
        <v>12</v>
      </c>
    </row>
    <row r="8" customFormat="false" ht="23.85" hidden="false" customHeight="false" outlineLevel="0" collapsed="false">
      <c r="A8" s="5" t="s">
        <v>246</v>
      </c>
      <c r="B8" s="5" t="s">
        <v>247</v>
      </c>
      <c r="C8" s="5" t="s">
        <v>248</v>
      </c>
      <c r="D8" s="5" t="s">
        <v>249</v>
      </c>
      <c r="E8" s="6" t="s">
        <v>230</v>
      </c>
      <c r="F8" s="8" t="s">
        <v>216</v>
      </c>
      <c r="G8" s="5" t="s">
        <v>250</v>
      </c>
      <c r="H8" s="5" t="s">
        <v>251</v>
      </c>
      <c r="I8" s="5" t="s">
        <v>252</v>
      </c>
    </row>
  </sheetData>
  <autoFilter ref="A4:I8"/>
  <mergeCells count="2">
    <mergeCell ref="A1:I1"/>
    <mergeCell ref="A2:I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42"/>
    <col collapsed="false" customWidth="true" hidden="false" outlineLevel="0" max="8" min="8" style="0" width="20"/>
    <col collapsed="false" customWidth="true" hidden="false" outlineLevel="0" max="9" min="9" style="0" width="30"/>
    <col collapsed="false" customWidth="true" hidden="false" outlineLevel="0" max="11" min="11" style="0" width="10"/>
    <col collapsed="false" customWidth="true" hidden="false" outlineLevel="0" max="12" min="12" style="0" width="8"/>
  </cols>
  <sheetData>
    <row r="1" customFormat="false" ht="21.75" hidden="false" customHeight="true" outlineLevel="0" collapsed="false">
      <c r="A1" s="1" t="s">
        <v>253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254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189</v>
      </c>
      <c r="B4" s="3" t="s">
        <v>255</v>
      </c>
      <c r="C4" s="3" t="s">
        <v>256</v>
      </c>
      <c r="D4" s="3" t="s">
        <v>257</v>
      </c>
      <c r="E4" s="3" t="s">
        <v>258</v>
      </c>
      <c r="F4" s="3" t="s">
        <v>259</v>
      </c>
      <c r="G4" s="3" t="s">
        <v>260</v>
      </c>
      <c r="H4" s="3" t="s">
        <v>6</v>
      </c>
      <c r="I4" s="3" t="s">
        <v>43</v>
      </c>
      <c r="K4" s="10" t="s">
        <v>261</v>
      </c>
    </row>
    <row r="5" customFormat="false" ht="35.05" hidden="false" customHeight="false" outlineLevel="0" collapsed="false">
      <c r="A5" s="4" t="s">
        <v>262</v>
      </c>
      <c r="B5" s="4" t="s">
        <v>263</v>
      </c>
      <c r="C5" s="4" t="s">
        <v>264</v>
      </c>
      <c r="D5" s="4" t="s">
        <v>230</v>
      </c>
      <c r="E5" s="4" t="s">
        <v>243</v>
      </c>
      <c r="F5" s="11" t="n">
        <f aca="false">INDEX($L$6:$L$8,MATCH(D5,$K$6:$K$8,0))*INDEX($L$6:$L$8,MATCH(E5,$K$6:$K$8,0))</f>
        <v>2</v>
      </c>
      <c r="G5" s="4" t="s">
        <v>265</v>
      </c>
      <c r="H5" s="4" t="s">
        <v>266</v>
      </c>
      <c r="I5" s="4" t="s">
        <v>267</v>
      </c>
      <c r="K5" s="10" t="s">
        <v>268</v>
      </c>
      <c r="L5" s="10" t="s">
        <v>269</v>
      </c>
    </row>
    <row r="6" customFormat="false" ht="23.85" hidden="false" customHeight="false" outlineLevel="0" collapsed="false">
      <c r="A6" s="5" t="s">
        <v>270</v>
      </c>
      <c r="B6" s="5" t="s">
        <v>271</v>
      </c>
      <c r="C6" s="5" t="s">
        <v>272</v>
      </c>
      <c r="D6" s="5" t="s">
        <v>243</v>
      </c>
      <c r="E6" s="5" t="s">
        <v>273</v>
      </c>
      <c r="F6" s="12" t="n">
        <f aca="false">INDEX($L$6:$L$8,MATCH(D6,$K$6:$K$8,0))*INDEX($L$6:$L$8,MATCH(E6,$K$6:$K$8,0))</f>
        <v>6</v>
      </c>
      <c r="G6" s="5" t="s">
        <v>274</v>
      </c>
      <c r="H6" s="5" t="s">
        <v>24</v>
      </c>
      <c r="I6" s="5" t="s">
        <v>275</v>
      </c>
      <c r="K6" s="13" t="s">
        <v>230</v>
      </c>
      <c r="L6" s="13" t="n">
        <v>1</v>
      </c>
    </row>
    <row r="7" customFormat="false" ht="23.85" hidden="false" customHeight="false" outlineLevel="0" collapsed="false">
      <c r="A7" s="4" t="s">
        <v>276</v>
      </c>
      <c r="B7" s="4" t="s">
        <v>277</v>
      </c>
      <c r="C7" s="4" t="s">
        <v>278</v>
      </c>
      <c r="D7" s="4" t="s">
        <v>243</v>
      </c>
      <c r="E7" s="4" t="s">
        <v>243</v>
      </c>
      <c r="F7" s="11" t="n">
        <f aca="false">INDEX($L$6:$L$8,MATCH(D7,$K$6:$K$8,0))*INDEX($L$6:$L$8,MATCH(E7,$K$6:$K$8,0))</f>
        <v>4</v>
      </c>
      <c r="G7" s="4" t="s">
        <v>279</v>
      </c>
      <c r="H7" s="4" t="s">
        <v>12</v>
      </c>
      <c r="I7" s="4" t="s">
        <v>216</v>
      </c>
      <c r="K7" s="13" t="s">
        <v>243</v>
      </c>
      <c r="L7" s="13" t="n">
        <v>2</v>
      </c>
    </row>
    <row r="8" customFormat="false" ht="35.05" hidden="false" customHeight="false" outlineLevel="0" collapsed="false">
      <c r="A8" s="5" t="s">
        <v>280</v>
      </c>
      <c r="B8" s="5" t="s">
        <v>281</v>
      </c>
      <c r="C8" s="5" t="s">
        <v>282</v>
      </c>
      <c r="D8" s="5" t="s">
        <v>230</v>
      </c>
      <c r="E8" s="5" t="s">
        <v>273</v>
      </c>
      <c r="F8" s="12" t="n">
        <f aca="false">INDEX($L$6:$L$8,MATCH(D8,$K$6:$K$8,0))*INDEX($L$6:$L$8,MATCH(E8,$K$6:$K$8,0))</f>
        <v>3</v>
      </c>
      <c r="G8" s="5" t="s">
        <v>283</v>
      </c>
      <c r="H8" s="5" t="s">
        <v>35</v>
      </c>
      <c r="I8" s="5" t="s">
        <v>284</v>
      </c>
      <c r="K8" s="13" t="s">
        <v>273</v>
      </c>
      <c r="L8" s="13" t="n">
        <v>3</v>
      </c>
    </row>
    <row r="9" customFormat="false" ht="23.85" hidden="false" customHeight="false" outlineLevel="0" collapsed="false">
      <c r="A9" s="4" t="s">
        <v>285</v>
      </c>
      <c r="B9" s="4" t="s">
        <v>286</v>
      </c>
      <c r="C9" s="4" t="s">
        <v>287</v>
      </c>
      <c r="D9" s="4" t="s">
        <v>243</v>
      </c>
      <c r="E9" s="4" t="s">
        <v>273</v>
      </c>
      <c r="F9" s="11" t="n">
        <f aca="false">INDEX($L$6:$L$8,MATCH(D9,$K$6:$K$8,0))*INDEX($L$6:$L$8,MATCH(E9,$K$6:$K$8,0))</f>
        <v>6</v>
      </c>
      <c r="G9" s="4" t="s">
        <v>288</v>
      </c>
      <c r="H9" s="4" t="s">
        <v>12</v>
      </c>
      <c r="I9" s="4" t="s">
        <v>216</v>
      </c>
    </row>
    <row r="10" customFormat="false" ht="23.85" hidden="false" customHeight="false" outlineLevel="0" collapsed="false">
      <c r="A10" s="5" t="s">
        <v>289</v>
      </c>
      <c r="B10" s="5" t="s">
        <v>290</v>
      </c>
      <c r="C10" s="5" t="s">
        <v>291</v>
      </c>
      <c r="D10" s="5" t="s">
        <v>243</v>
      </c>
      <c r="E10" s="5" t="s">
        <v>273</v>
      </c>
      <c r="F10" s="12" t="n">
        <f aca="false">INDEX($L$6:$L$8,MATCH(D10,$K$6:$K$8,0))*INDEX($L$6:$L$8,MATCH(E10,$K$6:$K$8,0))</f>
        <v>6</v>
      </c>
      <c r="G10" s="5" t="s">
        <v>292</v>
      </c>
      <c r="H10" s="5" t="s">
        <v>293</v>
      </c>
      <c r="I10" s="5" t="s">
        <v>294</v>
      </c>
    </row>
    <row r="11" customFormat="false" ht="23.85" hidden="false" customHeight="false" outlineLevel="0" collapsed="false">
      <c r="A11" s="4" t="s">
        <v>295</v>
      </c>
      <c r="B11" s="4" t="s">
        <v>296</v>
      </c>
      <c r="C11" s="4" t="s">
        <v>297</v>
      </c>
      <c r="D11" s="4" t="s">
        <v>273</v>
      </c>
      <c r="E11" s="4" t="s">
        <v>243</v>
      </c>
      <c r="F11" s="11" t="n">
        <f aca="false">INDEX($L$6:$L$8,MATCH(D11,$K$6:$K$8,0))*INDEX($L$6:$L$8,MATCH(E11,$K$6:$K$8,0))</f>
        <v>6</v>
      </c>
      <c r="G11" s="4" t="s">
        <v>298</v>
      </c>
      <c r="H11" s="4" t="s">
        <v>12</v>
      </c>
      <c r="I11" s="4" t="s">
        <v>216</v>
      </c>
    </row>
    <row r="12" customFormat="false" ht="23.85" hidden="false" customHeight="false" outlineLevel="0" collapsed="false">
      <c r="A12" s="5" t="s">
        <v>299</v>
      </c>
      <c r="B12" s="5" t="s">
        <v>300</v>
      </c>
      <c r="C12" s="5" t="s">
        <v>301</v>
      </c>
      <c r="D12" s="5" t="s">
        <v>230</v>
      </c>
      <c r="E12" s="5" t="s">
        <v>243</v>
      </c>
      <c r="F12" s="12" t="n">
        <f aca="false">INDEX($L$6:$L$8,MATCH(D12,$K$6:$K$8,0))*INDEX($L$6:$L$8,MATCH(E12,$K$6:$K$8,0))</f>
        <v>2</v>
      </c>
      <c r="G12" s="5" t="s">
        <v>302</v>
      </c>
      <c r="H12" s="5" t="s">
        <v>303</v>
      </c>
      <c r="I12" s="5" t="s">
        <v>216</v>
      </c>
    </row>
    <row r="13" customFormat="false" ht="35.05" hidden="false" customHeight="false" outlineLevel="0" collapsed="false">
      <c r="A13" s="4" t="s">
        <v>304</v>
      </c>
      <c r="B13" s="4" t="s">
        <v>305</v>
      </c>
      <c r="C13" s="4" t="s">
        <v>306</v>
      </c>
      <c r="D13" s="4" t="s">
        <v>230</v>
      </c>
      <c r="E13" s="4" t="s">
        <v>273</v>
      </c>
      <c r="F13" s="11" t="n">
        <f aca="false">INDEX($L$6:$L$8,MATCH(D13,$K$6:$K$8,0))*INDEX($L$6:$L$8,MATCH(E13,$K$6:$K$8,0))</f>
        <v>3</v>
      </c>
      <c r="G13" s="4" t="s">
        <v>307</v>
      </c>
      <c r="H13" s="4" t="s">
        <v>12</v>
      </c>
      <c r="I13" s="4" t="s">
        <v>216</v>
      </c>
    </row>
    <row r="14" customFormat="false" ht="23.85" hidden="false" customHeight="false" outlineLevel="0" collapsed="false">
      <c r="A14" s="5" t="s">
        <v>308</v>
      </c>
      <c r="B14" s="5" t="s">
        <v>309</v>
      </c>
      <c r="C14" s="5" t="s">
        <v>310</v>
      </c>
      <c r="D14" s="5" t="s">
        <v>230</v>
      </c>
      <c r="E14" s="5" t="s">
        <v>243</v>
      </c>
      <c r="F14" s="12" t="n">
        <f aca="false">INDEX($L$6:$L$8,MATCH(D14,$K$6:$K$8,0))*INDEX($L$6:$L$8,MATCH(E14,$K$6:$K$8,0))</f>
        <v>2</v>
      </c>
      <c r="G14" s="5" t="s">
        <v>311</v>
      </c>
      <c r="H14" s="5" t="s">
        <v>12</v>
      </c>
      <c r="I14" s="5" t="s">
        <v>216</v>
      </c>
    </row>
    <row r="15" customFormat="false" ht="35.05" hidden="false" customHeight="false" outlineLevel="0" collapsed="false">
      <c r="A15" s="4" t="s">
        <v>312</v>
      </c>
      <c r="B15" s="4" t="s">
        <v>313</v>
      </c>
      <c r="C15" s="4" t="s">
        <v>314</v>
      </c>
      <c r="D15" s="4" t="s">
        <v>243</v>
      </c>
      <c r="E15" s="4" t="s">
        <v>243</v>
      </c>
      <c r="F15" s="11" t="n">
        <f aca="false">INDEX($L$6:$L$8,MATCH(D15,$K$6:$K$8,0))*INDEX($L$6:$L$8,MATCH(E15,$K$6:$K$8,0))</f>
        <v>4</v>
      </c>
      <c r="G15" s="4" t="s">
        <v>315</v>
      </c>
      <c r="H15" s="4" t="s">
        <v>12</v>
      </c>
      <c r="I15" s="4" t="s">
        <v>316</v>
      </c>
    </row>
    <row r="16" customFormat="false" ht="35.05" hidden="false" customHeight="false" outlineLevel="0" collapsed="false">
      <c r="A16" s="5" t="s">
        <v>317</v>
      </c>
      <c r="B16" s="5" t="s">
        <v>318</v>
      </c>
      <c r="C16" s="5" t="s">
        <v>319</v>
      </c>
      <c r="D16" s="5" t="s">
        <v>230</v>
      </c>
      <c r="E16" s="5" t="s">
        <v>230</v>
      </c>
      <c r="F16" s="12" t="n">
        <f aca="false">INDEX($L$6:$L$8,MATCH(D16,$K$6:$K$8,0))*INDEX($L$6:$L$8,MATCH(E16,$K$6:$K$8,0))</f>
        <v>1</v>
      </c>
      <c r="G16" s="5" t="s">
        <v>320</v>
      </c>
      <c r="H16" s="5" t="s">
        <v>252</v>
      </c>
      <c r="I16" s="5" t="s">
        <v>216</v>
      </c>
    </row>
    <row r="17" customFormat="false" ht="23.85" hidden="false" customHeight="false" outlineLevel="0" collapsed="false">
      <c r="A17" s="4" t="s">
        <v>321</v>
      </c>
      <c r="B17" s="4" t="s">
        <v>322</v>
      </c>
      <c r="C17" s="4" t="s">
        <v>264</v>
      </c>
      <c r="D17" s="4" t="s">
        <v>230</v>
      </c>
      <c r="E17" s="4" t="s">
        <v>230</v>
      </c>
      <c r="F17" s="11" t="n">
        <f aca="false">INDEX($L$6:$L$8,MATCH(D17,$K$6:$K$8,0))*INDEX($L$6:$L$8,MATCH(E17,$K$6:$K$8,0))</f>
        <v>1</v>
      </c>
      <c r="G17" s="4" t="s">
        <v>323</v>
      </c>
      <c r="H17" s="4" t="s">
        <v>266</v>
      </c>
      <c r="I17" s="4" t="s">
        <v>324</v>
      </c>
    </row>
    <row r="18" customFormat="false" ht="23.85" hidden="false" customHeight="false" outlineLevel="0" collapsed="false">
      <c r="A18" s="5" t="s">
        <v>325</v>
      </c>
      <c r="B18" s="5" t="s">
        <v>326</v>
      </c>
      <c r="C18" s="5" t="s">
        <v>327</v>
      </c>
      <c r="D18" s="5" t="s">
        <v>230</v>
      </c>
      <c r="E18" s="5" t="s">
        <v>230</v>
      </c>
      <c r="F18" s="12" t="n">
        <f aca="false">INDEX($L$6:$L$8,MATCH(D18,$K$6:$K$8,0))*INDEX($L$6:$L$8,MATCH(E18,$K$6:$K$8,0))</f>
        <v>1</v>
      </c>
      <c r="G18" s="5" t="s">
        <v>328</v>
      </c>
      <c r="H18" s="5" t="s">
        <v>35</v>
      </c>
      <c r="I18" s="5" t="s">
        <v>324</v>
      </c>
    </row>
  </sheetData>
  <autoFilter ref="A4:I18"/>
  <mergeCells count="2">
    <mergeCell ref="A1:I1"/>
    <mergeCell ref="A2:I2"/>
  </mergeCells>
  <conditionalFormatting sqref="F5:F18">
    <cfRule type="colorScale" priority="2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dataValidations count="2">
    <dataValidation allowBlank="false" errorStyle="stop" operator="between" showDropDown="false" showErrorMessage="false" showInputMessage="false" sqref="D5:D18" type="list">
      <formula1>$K$6:$K$8</formula1>
      <formula2>0</formula2>
    </dataValidation>
    <dataValidation allowBlank="false" errorStyle="stop" operator="between" showDropDown="false" showErrorMessage="false" showInputMessage="false" sqref="E5:E18" type="list">
      <formula1>$K$6:$K$8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8" min="8" style="0" width="32"/>
    <col collapsed="false" customWidth="true" hidden="false" outlineLevel="0" max="9" min="9" style="0" width="11"/>
    <col collapsed="false" customWidth="true" hidden="false" outlineLevel="0" max="10" min="10" style="0" width="34"/>
    <col collapsed="false" customWidth="true" hidden="false" outlineLevel="0" max="11" min="11" style="0" width="18"/>
    <col collapsed="false" customWidth="true" hidden="false" outlineLevel="0" max="12" min="12" style="0" width="30"/>
  </cols>
  <sheetData>
    <row r="1" customFormat="false" ht="21.75" hidden="false" customHeight="true" outlineLevel="0" collapsed="false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330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331</v>
      </c>
      <c r="B4" s="3" t="s">
        <v>332</v>
      </c>
      <c r="C4" s="3" t="s">
        <v>333</v>
      </c>
      <c r="D4" s="3" t="s">
        <v>334</v>
      </c>
      <c r="E4" s="3" t="s">
        <v>335</v>
      </c>
      <c r="F4" s="3" t="s">
        <v>336</v>
      </c>
      <c r="G4" s="3" t="s">
        <v>43</v>
      </c>
      <c r="H4" s="3" t="s">
        <v>337</v>
      </c>
      <c r="I4" s="3" t="s">
        <v>338</v>
      </c>
      <c r="J4" s="3" t="s">
        <v>339</v>
      </c>
      <c r="K4" s="3" t="s">
        <v>340</v>
      </c>
      <c r="L4" s="3" t="s">
        <v>191</v>
      </c>
    </row>
    <row r="5" customFormat="false" ht="35.05" hidden="false" customHeight="false" outlineLevel="0" collapsed="false">
      <c r="A5" s="4" t="s">
        <v>341</v>
      </c>
      <c r="B5" s="4" t="s">
        <v>342</v>
      </c>
      <c r="C5" s="4" t="s">
        <v>343</v>
      </c>
      <c r="D5" s="4" t="s">
        <v>344</v>
      </c>
      <c r="E5" s="4" t="s">
        <v>266</v>
      </c>
      <c r="F5" s="4" t="s">
        <v>96</v>
      </c>
      <c r="G5" s="6" t="s">
        <v>345</v>
      </c>
      <c r="H5" s="4" t="s">
        <v>346</v>
      </c>
      <c r="I5" s="4" t="s">
        <v>347</v>
      </c>
      <c r="J5" s="4" t="s">
        <v>348</v>
      </c>
      <c r="K5" s="4" t="s">
        <v>266</v>
      </c>
      <c r="L5" s="4" t="s">
        <v>349</v>
      </c>
    </row>
    <row r="6" customFormat="false" ht="35.05" hidden="false" customHeight="false" outlineLevel="0" collapsed="false">
      <c r="A6" s="5" t="s">
        <v>350</v>
      </c>
      <c r="B6" s="5" t="s">
        <v>351</v>
      </c>
      <c r="C6" s="5" t="s">
        <v>352</v>
      </c>
      <c r="D6" s="5" t="s">
        <v>353</v>
      </c>
      <c r="E6" s="5" t="s">
        <v>35</v>
      </c>
      <c r="F6" s="5" t="s">
        <v>115</v>
      </c>
      <c r="G6" s="6" t="s">
        <v>345</v>
      </c>
      <c r="H6" s="5" t="s">
        <v>354</v>
      </c>
      <c r="I6" s="5" t="s">
        <v>273</v>
      </c>
      <c r="J6" s="5" t="s">
        <v>355</v>
      </c>
      <c r="K6" s="5" t="s">
        <v>35</v>
      </c>
      <c r="L6" s="5" t="s">
        <v>356</v>
      </c>
    </row>
    <row r="7" customFormat="false" ht="35.05" hidden="false" customHeight="false" outlineLevel="0" collapsed="false">
      <c r="A7" s="4" t="s">
        <v>357</v>
      </c>
      <c r="B7" s="4" t="s">
        <v>358</v>
      </c>
      <c r="C7" s="4" t="s">
        <v>359</v>
      </c>
      <c r="D7" s="4" t="s">
        <v>314</v>
      </c>
      <c r="E7" s="4" t="s">
        <v>360</v>
      </c>
      <c r="F7" s="4" t="s">
        <v>96</v>
      </c>
      <c r="G7" s="9" t="s">
        <v>361</v>
      </c>
      <c r="H7" s="4" t="s">
        <v>362</v>
      </c>
      <c r="I7" s="4" t="s">
        <v>243</v>
      </c>
      <c r="J7" s="4" t="s">
        <v>363</v>
      </c>
      <c r="K7" s="4" t="s">
        <v>12</v>
      </c>
      <c r="L7" s="4" t="s">
        <v>364</v>
      </c>
    </row>
    <row r="8" customFormat="false" ht="35.05" hidden="false" customHeight="false" outlineLevel="0" collapsed="false">
      <c r="A8" s="5" t="s">
        <v>365</v>
      </c>
      <c r="B8" s="5" t="s">
        <v>366</v>
      </c>
      <c r="C8" s="5" t="s">
        <v>367</v>
      </c>
      <c r="D8" s="5" t="s">
        <v>344</v>
      </c>
      <c r="E8" s="5" t="s">
        <v>24</v>
      </c>
      <c r="F8" s="5" t="s">
        <v>368</v>
      </c>
      <c r="G8" s="5" t="s">
        <v>128</v>
      </c>
      <c r="H8" s="5" t="s">
        <v>369</v>
      </c>
      <c r="I8" s="5" t="s">
        <v>243</v>
      </c>
      <c r="J8" s="5" t="s">
        <v>370</v>
      </c>
      <c r="K8" s="5" t="s">
        <v>252</v>
      </c>
      <c r="L8" s="5" t="s">
        <v>371</v>
      </c>
    </row>
  </sheetData>
  <autoFilter ref="A4:L8"/>
  <mergeCells count="2">
    <mergeCell ref="A1:L1"/>
    <mergeCell ref="A2:L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4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372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373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189</v>
      </c>
      <c r="B4" s="3" t="s">
        <v>374</v>
      </c>
      <c r="C4" s="3" t="s">
        <v>375</v>
      </c>
      <c r="D4" s="3" t="s">
        <v>376</v>
      </c>
      <c r="E4" s="3" t="s">
        <v>377</v>
      </c>
      <c r="F4" s="3" t="s">
        <v>258</v>
      </c>
    </row>
    <row r="5" customFormat="false" ht="35.05" hidden="false" customHeight="false" outlineLevel="0" collapsed="false">
      <c r="A5" s="4" t="s">
        <v>378</v>
      </c>
      <c r="B5" s="4" t="s">
        <v>379</v>
      </c>
      <c r="C5" s="4" t="s">
        <v>380</v>
      </c>
      <c r="D5" s="4" t="s">
        <v>381</v>
      </c>
      <c r="E5" s="4" t="s">
        <v>96</v>
      </c>
      <c r="F5" s="4" t="s">
        <v>382</v>
      </c>
    </row>
    <row r="6" customFormat="false" ht="23.85" hidden="false" customHeight="false" outlineLevel="0" collapsed="false">
      <c r="A6" s="5" t="s">
        <v>383</v>
      </c>
      <c r="B6" s="5" t="s">
        <v>384</v>
      </c>
      <c r="C6" s="5" t="s">
        <v>385</v>
      </c>
      <c r="D6" s="5" t="s">
        <v>12</v>
      </c>
      <c r="E6" s="5" t="s">
        <v>115</v>
      </c>
      <c r="F6" s="5" t="s">
        <v>386</v>
      </c>
    </row>
    <row r="7" customFormat="false" ht="35.05" hidden="false" customHeight="false" outlineLevel="0" collapsed="false">
      <c r="A7" s="4" t="s">
        <v>387</v>
      </c>
      <c r="B7" s="4" t="s">
        <v>388</v>
      </c>
      <c r="C7" s="4" t="s">
        <v>389</v>
      </c>
      <c r="D7" s="4" t="s">
        <v>12</v>
      </c>
      <c r="E7" s="4" t="s">
        <v>96</v>
      </c>
      <c r="F7" s="4" t="s">
        <v>390</v>
      </c>
    </row>
  </sheetData>
  <autoFilter ref="A4:F7"/>
  <mergeCells count="2">
    <mergeCell ref="A1:F1"/>
    <mergeCell ref="A2:F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6" min="6" style="0" width="20"/>
  </cols>
  <sheetData>
    <row r="1" customFormat="false" ht="21.75" hidden="false" customHeight="true" outlineLevel="0" collapsed="false">
      <c r="A1" s="1" t="s">
        <v>391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392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377</v>
      </c>
      <c r="B4" s="3" t="s">
        <v>393</v>
      </c>
      <c r="C4" s="3" t="s">
        <v>394</v>
      </c>
      <c r="D4" s="3" t="s">
        <v>395</v>
      </c>
      <c r="E4" s="3" t="s">
        <v>396</v>
      </c>
      <c r="F4" s="3" t="s">
        <v>397</v>
      </c>
    </row>
    <row r="5" customFormat="false" ht="23.85" hidden="false" customHeight="false" outlineLevel="0" collapsed="false">
      <c r="A5" s="4" t="s">
        <v>96</v>
      </c>
      <c r="B5" s="4" t="s">
        <v>398</v>
      </c>
      <c r="C5" s="4" t="s">
        <v>399</v>
      </c>
      <c r="D5" s="4" t="s">
        <v>400</v>
      </c>
      <c r="E5" s="4" t="s">
        <v>401</v>
      </c>
      <c r="F5" s="4" t="s">
        <v>12</v>
      </c>
    </row>
    <row r="6" customFormat="false" ht="23.85" hidden="false" customHeight="false" outlineLevel="0" collapsed="false">
      <c r="A6" s="5" t="s">
        <v>115</v>
      </c>
      <c r="B6" s="5" t="s">
        <v>402</v>
      </c>
      <c r="C6" s="5" t="s">
        <v>403</v>
      </c>
      <c r="D6" s="5" t="s">
        <v>404</v>
      </c>
      <c r="E6" s="5" t="s">
        <v>405</v>
      </c>
      <c r="F6" s="5" t="s">
        <v>12</v>
      </c>
    </row>
    <row r="7" customFormat="false" ht="23.85" hidden="false" customHeight="false" outlineLevel="0" collapsed="false">
      <c r="A7" s="4" t="s">
        <v>96</v>
      </c>
      <c r="B7" s="4" t="s">
        <v>406</v>
      </c>
      <c r="C7" s="4" t="s">
        <v>407</v>
      </c>
      <c r="D7" s="4" t="s">
        <v>408</v>
      </c>
      <c r="E7" s="4" t="s">
        <v>409</v>
      </c>
      <c r="F7" s="4" t="s">
        <v>410</v>
      </c>
    </row>
    <row r="8" customFormat="false" ht="23.85" hidden="false" customHeight="false" outlineLevel="0" collapsed="false">
      <c r="A8" s="5" t="s">
        <v>120</v>
      </c>
      <c r="B8" s="5" t="s">
        <v>411</v>
      </c>
      <c r="C8" s="5" t="s">
        <v>412</v>
      </c>
      <c r="D8" s="5" t="s">
        <v>413</v>
      </c>
      <c r="E8" s="5" t="s">
        <v>414</v>
      </c>
      <c r="F8" s="5" t="s">
        <v>24</v>
      </c>
    </row>
  </sheetData>
  <autoFilter ref="A4:F8"/>
  <mergeCells count="2">
    <mergeCell ref="A1:F1"/>
    <mergeCell ref="A2:F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5" min="4" style="0" width="30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10" min="9" style="0" width="30"/>
    <col collapsed="false" customWidth="true" hidden="false" outlineLevel="0" max="11" min="11" style="0" width="16"/>
    <col collapsed="false" customWidth="true" hidden="false" outlineLevel="0" max="12" min="12" style="0" width="34"/>
  </cols>
  <sheetData>
    <row r="1" customFormat="false" ht="21.75" hidden="false" customHeight="true" outlineLevel="0" collapsed="false">
      <c r="A1" s="1" t="s">
        <v>415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416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189</v>
      </c>
      <c r="B4" s="3" t="s">
        <v>417</v>
      </c>
      <c r="C4" s="3" t="s">
        <v>418</v>
      </c>
      <c r="D4" s="3" t="s">
        <v>419</v>
      </c>
      <c r="E4" s="3" t="s">
        <v>420</v>
      </c>
      <c r="F4" s="3" t="s">
        <v>421</v>
      </c>
      <c r="G4" s="3" t="s">
        <v>422</v>
      </c>
      <c r="H4" s="3" t="s">
        <v>423</v>
      </c>
      <c r="I4" s="3" t="s">
        <v>224</v>
      </c>
      <c r="J4" s="3" t="s">
        <v>225</v>
      </c>
      <c r="K4" s="3" t="s">
        <v>424</v>
      </c>
      <c r="L4" s="3" t="s">
        <v>396</v>
      </c>
    </row>
    <row r="5" customFormat="false" ht="35.05" hidden="false" customHeight="false" outlineLevel="0" collapsed="false">
      <c r="A5" s="4" t="s">
        <v>425</v>
      </c>
      <c r="B5" s="4" t="s">
        <v>426</v>
      </c>
      <c r="C5" s="4" t="s">
        <v>427</v>
      </c>
      <c r="D5" s="4" t="s">
        <v>428</v>
      </c>
      <c r="E5" s="4" t="s">
        <v>429</v>
      </c>
      <c r="F5" s="4" t="s">
        <v>430</v>
      </c>
      <c r="G5" s="8" t="s">
        <v>431</v>
      </c>
      <c r="H5" s="4" t="s">
        <v>432</v>
      </c>
      <c r="I5" s="4" t="s">
        <v>433</v>
      </c>
      <c r="J5" s="4" t="s">
        <v>434</v>
      </c>
      <c r="K5" s="4" t="s">
        <v>14</v>
      </c>
      <c r="L5" s="4" t="s">
        <v>435</v>
      </c>
    </row>
    <row r="6" customFormat="false" ht="46.25" hidden="false" customHeight="false" outlineLevel="0" collapsed="false">
      <c r="A6" s="5" t="s">
        <v>436</v>
      </c>
      <c r="B6" s="5" t="s">
        <v>437</v>
      </c>
      <c r="C6" s="5" t="s">
        <v>438</v>
      </c>
      <c r="D6" s="5" t="s">
        <v>439</v>
      </c>
      <c r="E6" s="5" t="s">
        <v>440</v>
      </c>
      <c r="F6" s="5" t="s">
        <v>441</v>
      </c>
      <c r="G6" s="6" t="s">
        <v>442</v>
      </c>
      <c r="H6" s="5" t="s">
        <v>443</v>
      </c>
      <c r="I6" s="5" t="s">
        <v>237</v>
      </c>
      <c r="J6" s="5" t="s">
        <v>238</v>
      </c>
      <c r="K6" s="5" t="s">
        <v>31</v>
      </c>
      <c r="L6" s="5" t="s">
        <v>444</v>
      </c>
    </row>
    <row r="7" customFormat="false" ht="35.05" hidden="false" customHeight="false" outlineLevel="0" collapsed="false">
      <c r="A7" s="4" t="s">
        <v>445</v>
      </c>
      <c r="B7" s="4" t="s">
        <v>446</v>
      </c>
      <c r="C7" s="4" t="s">
        <v>447</v>
      </c>
      <c r="D7" s="4" t="s">
        <v>448</v>
      </c>
      <c r="E7" s="4" t="s">
        <v>449</v>
      </c>
      <c r="F7" s="4" t="s">
        <v>450</v>
      </c>
      <c r="G7" s="9" t="s">
        <v>451</v>
      </c>
      <c r="H7" s="4" t="s">
        <v>452</v>
      </c>
      <c r="I7" s="4" t="s">
        <v>453</v>
      </c>
      <c r="J7" s="4" t="s">
        <v>245</v>
      </c>
      <c r="K7" s="4" t="s">
        <v>454</v>
      </c>
      <c r="L7" s="4" t="s">
        <v>409</v>
      </c>
    </row>
  </sheetData>
  <autoFilter ref="A4:L7"/>
  <mergeCells count="2">
    <mergeCell ref="A1:L1"/>
    <mergeCell ref="A2:L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1" t="s">
        <v>455</v>
      </c>
      <c r="B1" s="1"/>
      <c r="C1" s="1"/>
      <c r="D1" s="1"/>
    </row>
    <row r="2" customFormat="false" ht="15.75" hidden="false" customHeight="true" outlineLevel="0" collapsed="false">
      <c r="A2" s="2" t="s">
        <v>456</v>
      </c>
      <c r="B2" s="2"/>
      <c r="C2" s="2"/>
      <c r="D2" s="2"/>
    </row>
    <row r="4" customFormat="false" ht="15" hidden="false" customHeight="false" outlineLevel="0" collapsed="false">
      <c r="A4" s="3" t="s">
        <v>457</v>
      </c>
      <c r="B4" s="3" t="s">
        <v>458</v>
      </c>
      <c r="C4" s="3" t="s">
        <v>459</v>
      </c>
      <c r="D4" s="3" t="s">
        <v>460</v>
      </c>
    </row>
    <row r="5" customFormat="false" ht="23.85" hidden="false" customHeight="false" outlineLevel="0" collapsed="false">
      <c r="A5" s="4" t="s">
        <v>461</v>
      </c>
      <c r="B5" s="6" t="s">
        <v>462</v>
      </c>
      <c r="C5" s="4" t="s">
        <v>463</v>
      </c>
      <c r="D5" s="4" t="s">
        <v>464</v>
      </c>
    </row>
    <row r="6" customFormat="false" ht="23.85" hidden="false" customHeight="false" outlineLevel="0" collapsed="false">
      <c r="A6" s="5" t="s">
        <v>465</v>
      </c>
      <c r="B6" s="6" t="s">
        <v>462</v>
      </c>
      <c r="C6" s="5" t="s">
        <v>466</v>
      </c>
      <c r="D6" s="5" t="s">
        <v>464</v>
      </c>
    </row>
    <row r="7" customFormat="false" ht="15" hidden="false" customHeight="false" outlineLevel="0" collapsed="false">
      <c r="A7" s="4" t="s">
        <v>467</v>
      </c>
      <c r="B7" s="8" t="s">
        <v>468</v>
      </c>
      <c r="C7" s="4" t="s">
        <v>469</v>
      </c>
      <c r="D7" s="4" t="s">
        <v>470</v>
      </c>
    </row>
    <row r="8" customFormat="false" ht="15" hidden="false" customHeight="false" outlineLevel="0" collapsed="false">
      <c r="A8" s="5" t="s">
        <v>471</v>
      </c>
      <c r="B8" s="8" t="s">
        <v>468</v>
      </c>
      <c r="C8" s="5" t="s">
        <v>472</v>
      </c>
      <c r="D8" s="5" t="s">
        <v>473</v>
      </c>
    </row>
    <row r="9" customFormat="false" ht="23.85" hidden="false" customHeight="false" outlineLevel="0" collapsed="false">
      <c r="A9" s="4" t="s">
        <v>474</v>
      </c>
      <c r="B9" s="9" t="s">
        <v>475</v>
      </c>
      <c r="C9" s="4" t="s">
        <v>476</v>
      </c>
      <c r="D9" s="4" t="s">
        <v>477</v>
      </c>
    </row>
    <row r="10" customFormat="false" ht="23.85" hidden="false" customHeight="false" outlineLevel="0" collapsed="false">
      <c r="A10" s="5" t="s">
        <v>478</v>
      </c>
      <c r="B10" s="6" t="s">
        <v>479</v>
      </c>
      <c r="C10" s="5" t="s">
        <v>480</v>
      </c>
      <c r="D10" s="5" t="s">
        <v>464</v>
      </c>
    </row>
    <row r="11" customFormat="false" ht="35.05" hidden="false" customHeight="false" outlineLevel="0" collapsed="false">
      <c r="A11" s="4" t="s">
        <v>481</v>
      </c>
      <c r="B11" s="6" t="s">
        <v>479</v>
      </c>
      <c r="C11" s="4" t="s">
        <v>482</v>
      </c>
      <c r="D11" s="4" t="s">
        <v>464</v>
      </c>
    </row>
  </sheetData>
  <autoFilter ref="A4:D11"/>
  <mergeCells count="2">
    <mergeCell ref="A1:D1"/>
    <mergeCell ref="A2:D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2026-09-17T18:35:20Z</dcterms:created>
  <dc:creator>openpyxl</dc:creator>
  <dc:description/>
  <dc:language>en-US</dc:language>
  <cp:lastModifiedBy/>
  <dcterms:modified xsi:type="dcterms:W3CDTF">2026-09-17T18:35:20Z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