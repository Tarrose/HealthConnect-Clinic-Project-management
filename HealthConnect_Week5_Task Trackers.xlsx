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995D6459-F7E7-4954-892E-71F842FD0DF6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Task Tracker" sheetId="1" r:id="rId1"/>
    <sheet name="Updated Timeline" sheetId="2" r:id="rId2"/>
    <sheet name="Updated Risk Register" sheetId="3" r:id="rId3"/>
    <sheet name="Updated Dependency Register" sheetId="4" r:id="rId4"/>
  </sheets>
  <definedNames>
    <definedName name="_xlnm._FilterDatabase" localSheetId="0" hidden="1">'Task Tracker'!$A$4:$J$46</definedName>
    <definedName name="_xlnm._FilterDatabase" localSheetId="3" hidden="1">'Updated Dependency Register'!$A$4:$L$14</definedName>
    <definedName name="_xlnm._FilterDatabase" localSheetId="2" hidden="1">'Updated Risk Register'!$A$4:$I$17</definedName>
    <definedName name="_xlnm._FilterDatabase" localSheetId="1" hidden="1">'Updated Timeline'!$A$4:$G$54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3" l="1"/>
  <c r="F16" i="3"/>
  <c r="F15" i="3"/>
  <c r="F14" i="3"/>
  <c r="F13" i="3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<sst xmlns="http://schemas.openxmlformats.org/spreadsheetml/2006/main" count="868" uniqueCount="394">
  <si>
    <t>Reflects the corrected WBS: Initiating → Planning → Executing → Closing. Week 5 = Planning stage delivered.</t>
  </si>
  <si>
    <t>Code</t>
  </si>
  <si>
    <t>Task Name</t>
  </si>
  <si>
    <t>Phase</t>
  </si>
  <si>
    <t>Owner</t>
  </si>
  <si>
    <t>Priority</t>
  </si>
  <si>
    <t>Status</t>
  </si>
  <si>
    <t>% Complete</t>
  </si>
  <si>
    <t>Start Date</t>
  </si>
  <si>
    <t>End Date</t>
  </si>
  <si>
    <t>Notes</t>
  </si>
  <si>
    <t>1.1</t>
  </si>
  <si>
    <t>Confirm business problem &amp; central question</t>
  </si>
  <si>
    <t>Project Manager</t>
  </si>
  <si>
    <t>High</t>
  </si>
  <si>
    <t>Complete</t>
  </si>
  <si>
    <t>2026-08-31</t>
  </si>
  <si>
    <t>2026-09-01</t>
  </si>
  <si>
    <t>1.2</t>
  </si>
  <si>
    <t>Review data resources &amp; confirm assumptions</t>
  </si>
  <si>
    <t>1.3</t>
  </si>
  <si>
    <t>Develop Project Charter &amp; obtain Sponsor sign-off</t>
  </si>
  <si>
    <t>2026-09-02</t>
  </si>
  <si>
    <t>2026-09-10</t>
  </si>
  <si>
    <t>Charter drafted; Sponsor sign-off carried as an open item into Planning</t>
  </si>
  <si>
    <t>1.4</t>
  </si>
  <si>
    <t>Compile Stakeholder Register</t>
  </si>
  <si>
    <t>2026-09-11</t>
  </si>
  <si>
    <t>2026-09-15</t>
  </si>
  <si>
    <t>1.5</t>
  </si>
  <si>
    <t>Confirm resourcing</t>
  </si>
  <si>
    <t>2.1</t>
  </si>
  <si>
    <t>Develop Work Breakdown Structure</t>
  </si>
  <si>
    <t>2026-09-16</t>
  </si>
  <si>
    <t>2026-09-18</t>
  </si>
  <si>
    <t>2.2</t>
  </si>
  <si>
    <t>Develop project schedule (activity durations &amp; dependencies)</t>
  </si>
  <si>
    <t>2026-09-21</t>
  </si>
  <si>
    <t>2026-09-23</t>
  </si>
  <si>
    <t>2.3</t>
  </si>
  <si>
    <t>Build network diagram &amp; critical path analysis</t>
  </si>
  <si>
    <t>2026-09-24</t>
  </si>
  <si>
    <t>2026-09-25</t>
  </si>
  <si>
    <t>2.4</t>
  </si>
  <si>
    <t>Conduct schedule risk analysis</t>
  </si>
  <si>
    <t>2026-09-28</t>
  </si>
  <si>
    <t>2026-09-29</t>
  </si>
  <si>
    <t>2.5</t>
  </si>
  <si>
    <t>Develop Resource Management Plan</t>
  </si>
  <si>
    <t>Medium</t>
  </si>
  <si>
    <t>2.6</t>
  </si>
  <si>
    <t>Develop Communication Plan</t>
  </si>
  <si>
    <t>Low</t>
  </si>
  <si>
    <t>2026-09-17</t>
  </si>
  <si>
    <t>2.7</t>
  </si>
  <si>
    <t>Develop Quality Management Plan</t>
  </si>
  <si>
    <t>2.8</t>
  </si>
  <si>
    <t>Develop cost baseline / Project Budget</t>
  </si>
  <si>
    <t>2.9</t>
  </si>
  <si>
    <t>Expand Risk Register &amp; Dependency Register to full planning detail</t>
  </si>
  <si>
    <t>2026-09-30</t>
  </si>
  <si>
    <t>2026-10-01</t>
  </si>
  <si>
    <t>2.10</t>
  </si>
  <si>
    <t>Planning phase gate: baseline sign-off (scope, schedule, cost)</t>
  </si>
  <si>
    <t>Project Manager / Sponsor</t>
  </si>
  <si>
    <t>In Progress</t>
  </si>
  <si>
    <t>2026-10-02</t>
  </si>
  <si>
    <t>Awaiting Sponsor sign-off on the scope/schedule/cost baseline</t>
  </si>
  <si>
    <t>3.1</t>
  </si>
  <si>
    <t>Data quality assessment &amp; cleaning</t>
  </si>
  <si>
    <t>Data Engineer</t>
  </si>
  <si>
    <t>Not Started</t>
  </si>
  <si>
    <t>2026-10-05</t>
  </si>
  <si>
    <t>2026-10-09</t>
  </si>
  <si>
    <t>3.2</t>
  </si>
  <si>
    <t>Exploratory data analysis &amp; KPI definition</t>
  </si>
  <si>
    <t>Data Scientist</t>
  </si>
  <si>
    <t>3.3</t>
  </si>
  <si>
    <t>Confirm/construct unified patient identifier</t>
  </si>
  <si>
    <t>3.4</t>
  </si>
  <si>
    <t>Define no-show prediction problem</t>
  </si>
  <si>
    <t>2026-10-12</t>
  </si>
  <si>
    <t>2026-10-14</t>
  </si>
  <si>
    <t>4.1</t>
  </si>
  <si>
    <t>Model design &amp; validation approach</t>
  </si>
  <si>
    <t>2026-10-15</t>
  </si>
  <si>
    <t>2026-10-20</t>
  </si>
  <si>
    <t>4.2</t>
  </si>
  <si>
    <t>Segmentation design</t>
  </si>
  <si>
    <t>4.3</t>
  </si>
  <si>
    <t>ML system architecture &amp; reproducibility design</t>
  </si>
  <si>
    <t>ML Engineer</t>
  </si>
  <si>
    <t>2026-10-21</t>
  </si>
  <si>
    <t>2026-10-27</t>
  </si>
  <si>
    <t>4.4</t>
  </si>
  <si>
    <t>GenAI assistant scope &amp; safety boundaries</t>
  </si>
  <si>
    <t>Generative AI Developer</t>
  </si>
  <si>
    <t>4.5</t>
  </si>
  <si>
    <t>Dashboard/report design</t>
  </si>
  <si>
    <t>4.6</t>
  </si>
  <si>
    <t>Phase gate: design review &amp; Sponsor go/no-go</t>
  </si>
  <si>
    <t>2026-10-28</t>
  </si>
  <si>
    <t>5.1</t>
  </si>
  <si>
    <t>Build &amp; iteratively test no-show prediction model</t>
  </si>
  <si>
    <t>2026-10-29</t>
  </si>
  <si>
    <t>2027-01-20</t>
  </si>
  <si>
    <t>5.2</t>
  </si>
  <si>
    <t>Build data integration / pipeline</t>
  </si>
  <si>
    <t>2026-11-25</t>
  </si>
  <si>
    <t>5.3</t>
  </si>
  <si>
    <t>Build reproducible ML pipeline &amp; version control</t>
  </si>
  <si>
    <t>2026-11-26</t>
  </si>
  <si>
    <t>5.4</t>
  </si>
  <si>
    <t>Build GenAI assistant prototype</t>
  </si>
  <si>
    <t>2027-02-03</t>
  </si>
  <si>
    <t>5.5</t>
  </si>
  <si>
    <t>Build dashboard/reporting</t>
  </si>
  <si>
    <t>2027-01-13</t>
  </si>
  <si>
    <t>5.6</t>
  </si>
  <si>
    <t>Mid-development integration checkpoint</t>
  </si>
  <si>
    <t>2027-02-04</t>
  </si>
  <si>
    <t>6.1</t>
  </si>
  <si>
    <t>Validate segments with clinic staff</t>
  </si>
  <si>
    <t>Clinic Admin &amp; Clinical Staff</t>
  </si>
  <si>
    <t>2027-02-05</t>
  </si>
  <si>
    <t>2027-02-08</t>
  </si>
  <si>
    <t>6.2</t>
  </si>
  <si>
    <t>Train staff on dashboard &amp; flagged-patient process</t>
  </si>
  <si>
    <t>2027-02-09</t>
  </si>
  <si>
    <t>2027-02-11</t>
  </si>
  <si>
    <t>6.3</t>
  </si>
  <si>
    <t>Run pilot reminder/retention campaign</t>
  </si>
  <si>
    <t>2027-02-12</t>
  </si>
  <si>
    <t>2027-02-18</t>
  </si>
  <si>
    <t>6.4</t>
  </si>
  <si>
    <t>Measure pilot results vs. control group</t>
  </si>
  <si>
    <t>2027-02-19</t>
  </si>
  <si>
    <t>7.1</t>
  </si>
  <si>
    <t>Model validation against test data &amp; KPI targets</t>
  </si>
  <si>
    <t>2027-02-22</t>
  </si>
  <si>
    <t>2027-02-24</t>
  </si>
  <si>
    <t>7.2</t>
  </si>
  <si>
    <t>Assistant safety &amp; scope testing</t>
  </si>
  <si>
    <t>7.3</t>
  </si>
  <si>
    <t>Production deployment</t>
  </si>
  <si>
    <t>IT Lead</t>
  </si>
  <si>
    <t>2027-02-25</t>
  </si>
  <si>
    <t>2027-03-03</t>
  </si>
  <si>
    <t>7.4</t>
  </si>
  <si>
    <t>Establish monitoring &amp; retraining schedule</t>
  </si>
  <si>
    <t>Data Scientist / ML Engineer</t>
  </si>
  <si>
    <t>2027-03-04</t>
  </si>
  <si>
    <t>2027-03-10</t>
  </si>
  <si>
    <t>8.1</t>
  </si>
  <si>
    <t>Train internal IT/Data team</t>
  </si>
  <si>
    <t>Project Manager / Data Scientist</t>
  </si>
  <si>
    <t>2027-03-11</t>
  </si>
  <si>
    <t>2027-03-15</t>
  </si>
  <si>
    <t>8.2</t>
  </si>
  <si>
    <t>Final presentation &amp; documentation handover</t>
  </si>
  <si>
    <t>2027-03-16</t>
  </si>
  <si>
    <t>8.3</t>
  </si>
  <si>
    <t>Project closure &amp; lessons learned</t>
  </si>
  <si>
    <t>2027-03-17</t>
  </si>
  <si>
    <t>31 Aug 2026 – 2027-03-17 (24 working weeks; December fully excluded)</t>
  </si>
  <si>
    <t>Major Phase</t>
  </si>
  <si>
    <t>Key Activity</t>
  </si>
  <si>
    <t>Milestone</t>
  </si>
  <si>
    <t>Depends On</t>
  </si>
  <si>
    <t xml:space="preserve">    •  1.1  Confirm business problem &amp; central question</t>
  </si>
  <si>
    <t xml:space="preserve">    •  1.2  Review data resources &amp; confirm assumptions</t>
  </si>
  <si>
    <t xml:space="preserve">    •  1.3  Develop Project Charter &amp; obtain Sponsor sign-off</t>
  </si>
  <si>
    <t>1.1; 1.2</t>
  </si>
  <si>
    <t xml:space="preserve">    •  1.4  Compile Stakeholder Register</t>
  </si>
  <si>
    <t xml:space="preserve">    •  1.5  Confirm resourcing</t>
  </si>
  <si>
    <t>Project Charter approved by Sponsor</t>
  </si>
  <si>
    <t>Pending sign-off</t>
  </si>
  <si>
    <t xml:space="preserve">    •  2.1  Develop Work Breakdown Structure</t>
  </si>
  <si>
    <t>1.4; 1.5</t>
  </si>
  <si>
    <t xml:space="preserve">    •  2.2  Develop project schedule (activity durations &amp; dependencies)</t>
  </si>
  <si>
    <t xml:space="preserve">    •  2.3  Build network diagram &amp; critical path analysis</t>
  </si>
  <si>
    <t xml:space="preserve">    •  2.4  Conduct schedule risk analysis</t>
  </si>
  <si>
    <t xml:space="preserve">    •  2.5  Develop Resource Management Plan</t>
  </si>
  <si>
    <t xml:space="preserve">    •  2.6  Develop Communication Plan</t>
  </si>
  <si>
    <t xml:space="preserve">    •  2.7  Develop Quality Management Plan</t>
  </si>
  <si>
    <t xml:space="preserve">    •  2.8  Develop cost baseline / Project Budget</t>
  </si>
  <si>
    <t xml:space="preserve">    •  2.9  Expand Risk Register &amp; Dependency Register to full planning detail</t>
  </si>
  <si>
    <t xml:space="preserve">    •  2.10  Planning phase gate: baseline sign-off (scope, schedule, cost)</t>
  </si>
  <si>
    <t>2.4; 2.5; 2.6; 2.7; 2.8; 2.9</t>
  </si>
  <si>
    <t xml:space="preserve">    •  3.1  Data quality assessment &amp; cleaning</t>
  </si>
  <si>
    <t xml:space="preserve">    •  3.2  Exploratory data analysis &amp; KPI definition</t>
  </si>
  <si>
    <t xml:space="preserve">    •  3.3  Confirm/construct unified patient identifier</t>
  </si>
  <si>
    <t xml:space="preserve">    •  3.4  Define no-show prediction problem</t>
  </si>
  <si>
    <t>3.1; 3.2; 3.3</t>
  </si>
  <si>
    <t>No-show prediction problem formally defined</t>
  </si>
  <si>
    <t>Not due</t>
  </si>
  <si>
    <t xml:space="preserve">    •  4.1  Model design &amp; validation approach</t>
  </si>
  <si>
    <t xml:space="preserve">    •  4.2  Segmentation design</t>
  </si>
  <si>
    <t xml:space="preserve">    •  4.3  ML system architecture &amp; reproducibility design</t>
  </si>
  <si>
    <t>4.1; 4.2</t>
  </si>
  <si>
    <t xml:space="preserve">    •  4.4  GenAI assistant scope &amp; safety boundaries</t>
  </si>
  <si>
    <t xml:space="preserve">    •  4.5  Dashboard/report design</t>
  </si>
  <si>
    <t xml:space="preserve">    •  4.6  Phase gate: design review &amp; Sponsor go/no-go</t>
  </si>
  <si>
    <t>4.3; 4.4; 4.5</t>
  </si>
  <si>
    <t>Design approved at Phase Gate (Sponsor go/no-go)</t>
  </si>
  <si>
    <t xml:space="preserve">    •  5.1  Build &amp; iteratively test no-show prediction model</t>
  </si>
  <si>
    <t xml:space="preserve">    •  5.2  Build data integration / pipeline</t>
  </si>
  <si>
    <t xml:space="preserve">    •  5.3  Build reproducible ML pipeline &amp; version control</t>
  </si>
  <si>
    <t xml:space="preserve">    •  5.4  Build GenAI assistant prototype</t>
  </si>
  <si>
    <t xml:space="preserve">    •  5.5  Build dashboard/reporting</t>
  </si>
  <si>
    <t xml:space="preserve">    •  5.6  Mid-development integration checkpoint</t>
  </si>
  <si>
    <t>5.1; 5.3; 5.4; 5.5</t>
  </si>
  <si>
    <t xml:space="preserve">    •  6.1  Validate segments with clinic staff</t>
  </si>
  <si>
    <t xml:space="preserve">    •  6.2  Train staff on dashboard &amp; flagged-patient process</t>
  </si>
  <si>
    <t xml:space="preserve">    •  6.3  Run pilot reminder/retention campaign</t>
  </si>
  <si>
    <t xml:space="preserve">    •  6.4  Measure pilot results vs. control group</t>
  </si>
  <si>
    <t>Pilot results measured against control group</t>
  </si>
  <si>
    <t xml:space="preserve">    •  7.1  Model validation against test data &amp; KPI targets</t>
  </si>
  <si>
    <t xml:space="preserve">    •  7.2  Assistant safety &amp; scope testing</t>
  </si>
  <si>
    <t xml:space="preserve">    •  7.3  Production deployment</t>
  </si>
  <si>
    <t>7.1; 7.2</t>
  </si>
  <si>
    <t xml:space="preserve">    •  7.4  Establish monitoring &amp; retraining schedule</t>
  </si>
  <si>
    <t>Model and assistant live in production</t>
  </si>
  <si>
    <t xml:space="preserve">    •  8.1  Train internal IT/Data team</t>
  </si>
  <si>
    <t xml:space="preserve">    •  8.2  Final presentation &amp; documentation handover</t>
  </si>
  <si>
    <t xml:space="preserve">    •  8.3  Project closure &amp; lessons learned</t>
  </si>
  <si>
    <t>Operational handover complete; project closed</t>
  </si>
  <si>
    <t>HealthConnect Project — Updated Risk Register (Week 5 Checkpoint)</t>
  </si>
  <si>
    <t>Risk Score = Likelihood value × Impact value (see scale, cols K:L). New: R13 (schedule extension)</t>
  </si>
  <si>
    <t>ID</t>
  </si>
  <si>
    <t>Risk Description</t>
  </si>
  <si>
    <t>Category</t>
  </si>
  <si>
    <t>Likelihood</t>
  </si>
  <si>
    <t>Impact</t>
  </si>
  <si>
    <t>Risk Score</t>
  </si>
  <si>
    <t>Mitigation Strategy</t>
  </si>
  <si>
    <t>Scale</t>
  </si>
  <si>
    <t>R1</t>
  </si>
  <si>
    <t>Data quality issues in the appointment dataset (missing, inconsistent, or unclear fields)</t>
  </si>
  <si>
    <t>Data</t>
  </si>
  <si>
    <t>Early data quality assessment planned for Phase 3 (3.1); document assumptions and cleaning steps before modelling</t>
  </si>
  <si>
    <t>Monitoring</t>
  </si>
  <si>
    <t>Level</t>
  </si>
  <si>
    <t>Value</t>
  </si>
  <si>
    <t>R2</t>
  </si>
  <si>
    <t>No-show prediction model accuracy falls below the 75% target</t>
  </si>
  <si>
    <t>Model</t>
  </si>
  <si>
    <t>Iterative build-test cycles (5.1); feature engineering review if early accuracy lags</t>
  </si>
  <si>
    <t>Open</t>
  </si>
  <si>
    <t>R3</t>
  </si>
  <si>
    <t>Low staff adoption of at-risk patient flags and reminder recommendations</t>
  </si>
  <si>
    <t>Adoption</t>
  </si>
  <si>
    <t>Early staff involvement in segment validation (6.1) and structured training (6.2)</t>
  </si>
  <si>
    <t>R4</t>
  </si>
  <si>
    <t>Generative AI assistant produces out-of-scope or unsafe responses (e.g., clinical advice)</t>
  </si>
  <si>
    <t>Safety / Compliance</t>
  </si>
  <si>
    <t>Strict Knowledge-Base-only design (4.4); dedicated safety and scope testing (7.2)</t>
  </si>
  <si>
    <t>R5</t>
  </si>
  <si>
    <t>Insufficient internal capacity at HealthConnect to sustain monitoring and retraining after handover</t>
  </si>
  <si>
    <t>Operational</t>
  </si>
  <si>
    <t>Confirm internal team availability early (DEP-008); structured handover training (8.1)</t>
  </si>
  <si>
    <t>R6</t>
  </si>
  <si>
    <t>Data privacy / POPIA compliance exposure given health-related patient data</t>
  </si>
  <si>
    <t>Compliance</t>
  </si>
  <si>
    <t>Compliance Officer sign-off at each phase gate; consent status confirmed early (DEP-003)</t>
  </si>
  <si>
    <t>Compliance Officer</t>
  </si>
  <si>
    <t>R7</t>
  </si>
  <si>
    <t>Schedule pressure from the December office closure falling within the project timeline</t>
  </si>
  <si>
    <t>Schedule</t>
  </si>
  <si>
    <t>December fully excluded from the active schedule; work resumes after the recess with buffer</t>
  </si>
  <si>
    <t>R8</t>
  </si>
  <si>
    <t>Dependency on third-party LLM/API availability, rate limits, or cost for the assistant</t>
  </si>
  <si>
    <t>Technical / Vendor</t>
  </si>
  <si>
    <t>Early API access testing (5.4); fallback/offline model option identified</t>
  </si>
  <si>
    <t>R9</t>
  </si>
  <si>
    <t>Scope creep beyond the agreed prototype/pilot boundary into full production rollout without sign-off</t>
  </si>
  <si>
    <t>Scope</t>
  </si>
  <si>
    <t>Reinforce Scope Statement; Sponsor sign-off required through change control for any scope change</t>
  </si>
  <si>
    <t>R10</t>
  </si>
  <si>
    <t>Budget overrun beyond the approved contingency due to unforeseen integration complexity</t>
  </si>
  <si>
    <t>Financial</t>
  </si>
  <si>
    <t>Weekly budget tracking (9.2); contingency draws logged and approved per the authority matrix</t>
  </si>
  <si>
    <t>R11</t>
  </si>
  <si>
    <t>Initial data quality findings indicate more missing/inconsistent values than assumed at Charter stage</t>
  </si>
  <si>
    <t>Extend Phase 3 buffer if needed; escalate scale of the issue for a revised effort estimate</t>
  </si>
  <si>
    <t>R12</t>
  </si>
  <si>
    <t>IT Lead has a capacity conflict with commitments outside the project, risking delays to identifier resolution and deployment support</t>
  </si>
  <si>
    <t>Resource</t>
  </si>
  <si>
    <t>Confirm dedicated hours with the IT Lead's line manager; escalate to Sponsor if unresolved</t>
  </si>
  <si>
    <t>R13</t>
  </si>
  <si>
    <t>Formal Planning-stage CPM analysis shows the realistic project duration is ~24 weeks, not the originally assumed 20</t>
  </si>
  <si>
    <t>Baseline the 24-week schedule at the Planning phase gate (2.10) rather than silently compressing it; flag to Sponsor for awareness</t>
  </si>
  <si>
    <t>New — identified in Planning</t>
  </si>
  <si>
    <t>HealthConnect Project — Updated Dependency Register (Week 5 Checkpoint)</t>
  </si>
  <si>
    <t>Tracked separately from the Risk Register</t>
  </si>
  <si>
    <t>Dependency ID</t>
  </si>
  <si>
    <t>Dependency / Description</t>
  </si>
  <si>
    <t>Dependent Activity/Task</t>
  </si>
  <si>
    <t>Dependency Type</t>
  </si>
  <si>
    <t>Source / Owner</t>
  </si>
  <si>
    <t>Required By</t>
  </si>
  <si>
    <t>Impact if Delayed</t>
  </si>
  <si>
    <t>Criticality</t>
  </si>
  <si>
    <t>Mitigation / Action</t>
  </si>
  <si>
    <t>Responsible Person</t>
  </si>
  <si>
    <t>DEP-001</t>
  </si>
  <si>
    <t>Confirmed access to the HealthConnect Appointment Dataset, usable for analysis and modelling</t>
  </si>
  <si>
    <t>3.1 Data quality assessment &amp; cleaning</t>
  </si>
  <si>
    <t>Internal / Data</t>
  </si>
  <si>
    <t>Data preparation and modelling timeline slips</t>
  </si>
  <si>
    <t>N/A — resolved</t>
  </si>
  <si>
    <t>Access confirmed during Initiating</t>
  </si>
  <si>
    <t>DEP-002</t>
  </si>
  <si>
    <t>A common (or derivable) patient identifier confirmed across scheduling and reminder records</t>
  </si>
  <si>
    <t>3.3 Confirm/construct unified patient identifier</t>
  </si>
  <si>
    <t>Technical</t>
  </si>
  <si>
    <t>At Risk</t>
  </si>
  <si>
    <t>Data integration requires rework</t>
  </si>
  <si>
    <t>Critical</t>
  </si>
  <si>
    <t>Build a matching/linking key as a fallback; escalated via DEP-009</t>
  </si>
  <si>
    <t>Early review suggests no clean shared identifier exists</t>
  </si>
  <si>
    <t>DEP-003</t>
  </si>
  <si>
    <t>POPIA consent status confirmed for the appointment data used in the project</t>
  </si>
  <si>
    <t>1.2 Review data resources &amp; confirm assumptions</t>
  </si>
  <si>
    <t>Regulatory / Compliance</t>
  </si>
  <si>
    <t>Project pauses pending compliance clearance</t>
  </si>
  <si>
    <t>Confirmed by Compliance Officer during Initiating</t>
  </si>
  <si>
    <t>DEP-004</t>
  </si>
  <si>
    <t>Finalised, Sponsor-approved Clinic Knowledge Base scope for the patient information assistant</t>
  </si>
  <si>
    <t>4.4 GenAI assistant scope &amp; safety boundaries</t>
  </si>
  <si>
    <t>Internal / Content</t>
  </si>
  <si>
    <t>Clinic Administration</t>
  </si>
  <si>
    <t>Assistant scope and safety boundaries remain undefined</t>
  </si>
  <si>
    <t>Draft an interim scope for Sponsor approval if the final Knowledge Base is delayed</t>
  </si>
  <si>
    <t>DEP-005</t>
  </si>
  <si>
    <t>Administrative and clinical staff availability for segment validation and pilot execution</t>
  </si>
  <si>
    <t>6.1 Validate segments with clinic staff</t>
  </si>
  <si>
    <t>Clinic Administrative &amp; Clinical Staff</t>
  </si>
  <si>
    <t>Pilot campaign delayed or under-resourced</t>
  </si>
  <si>
    <t>Confirm staff resourcing at the Phase 4 gate</t>
  </si>
  <si>
    <t>DEP-006</t>
  </si>
  <si>
    <t>Third-party LLM/API access, licensing terms, and usage limits confirmed</t>
  </si>
  <si>
    <t>5.4 Build GenAI assistant prototype</t>
  </si>
  <si>
    <t>External / Vendor</t>
  </si>
  <si>
    <t>IT Lead / LLM Provider</t>
  </si>
  <si>
    <t>Assistant build blocked or delayed</t>
  </si>
  <si>
    <t>Identify a fallback or offline model option</t>
  </si>
  <si>
    <t>DEP-007</t>
  </si>
  <si>
    <t>Production environment / hosting readiness for the model, dashboard, and assistant</t>
  </si>
  <si>
    <t>7.3 Production deployment</t>
  </si>
  <si>
    <t>Deployment slips past the planned date</t>
  </si>
  <si>
    <t>Confirm environment readiness early in Phase 5</t>
  </si>
  <si>
    <t>DEP-008</t>
  </si>
  <si>
    <t>HealthConnect internal IT/Data team nominated and available for handover training</t>
  </si>
  <si>
    <t>8.1 Train internal IT/Data team</t>
  </si>
  <si>
    <t>Resource / Internal</t>
  </si>
  <si>
    <t>Clinic Management</t>
  </si>
  <si>
    <t>Handover delayed; consultant support required beyond project close</t>
  </si>
  <si>
    <t>Confirm nominated staff at the Phase 7 gate</t>
  </si>
  <si>
    <t>DEP-009</t>
  </si>
  <si>
    <t>Confirmed dedicated IT Lead capacity, prioritised against the IT Lead's other commitments</t>
  </si>
  <si>
    <t>3.3 Confirm/construct unified patient identifier; ongoing IT support</t>
  </si>
  <si>
    <t>IT Lead's Line Manager</t>
  </si>
  <si>
    <t>Identifier resolution and later deployment support both delayed</t>
  </si>
  <si>
    <t>Escalate to Sponsor if unresolved by the next cross-track check-in</t>
  </si>
  <si>
    <t>Raised via Week 5 coordination</t>
  </si>
  <si>
    <t>DEP-010</t>
  </si>
  <si>
    <t>Sponsor sign-off on the Planning-stage baseline (scope, schedule, cost) confirming the ~24-week duration</t>
  </si>
  <si>
    <t>3.1 Data quality assessment &amp; cleaning (Phase 3 start)</t>
  </si>
  <si>
    <t>Internal / Governance</t>
  </si>
  <si>
    <t>Sponsor</t>
  </si>
  <si>
    <t>Phase 3 cannot formally start without an approved baseline</t>
  </si>
  <si>
    <t>Present the Read Me findings (Timeline vs Schedule) at the next steering review</t>
  </si>
  <si>
    <t>New — identified at the Planning phase gate</t>
  </si>
  <si>
    <t>HealthConnect Project - Task Tracker (Week 5 Checkpoint)</t>
  </si>
  <si>
    <t>Phase 1 - Project Initiation</t>
  </si>
  <si>
    <t>Phase 2 - Planning</t>
  </si>
  <si>
    <t>Phase 3 - Analysis &amp; Data Preparation</t>
  </si>
  <si>
    <t>Flagged at risk pending confirmed patient identifier - see risk register</t>
  </si>
  <si>
    <t>Phase 4 - Solution Design</t>
  </si>
  <si>
    <t>Phase 5 - Model &amp; Assistant Development</t>
  </si>
  <si>
    <t>Phase 6 - Pilot Campaign</t>
  </si>
  <si>
    <t>Phase 7 - Testing, Deployment &amp; Monitoring</t>
  </si>
  <si>
    <t>Phase 8 - Operational Handover &amp; Closure</t>
  </si>
  <si>
    <t>HealthConnect Project - Updated Detailed Timeline (Week 5 Checkpoint)</t>
  </si>
  <si>
    <t>Phase 1 - Project Initiation
(2026-08-31 to 2026-09-15)</t>
  </si>
  <si>
    <t>-</t>
  </si>
  <si>
    <t>Phase 2 - Planning
(2026-09-16 to 2026-10-02)</t>
  </si>
  <si>
    <t>Phase 3 - Analysis &amp; Data Preparation
(2026-10-05 to 2026-10-14)</t>
  </si>
  <si>
    <t>Phase 4 - Solution Design
(2026-10-15 to 2026-10-28)</t>
  </si>
  <si>
    <t>Phase 5 - Model &amp; Assistant Development
(2026-10-29 to 2027-02-04)</t>
  </si>
  <si>
    <t>Phase 6 - Pilot Campaign
(2027-02-05 to 2027-02-19)</t>
  </si>
  <si>
    <t>Phase 7 - Testing, Deployment &amp; Monitoring
(2027-02-22 to 2027-03-10)</t>
  </si>
  <si>
    <t>Phase 8 - Operational Handover &amp; Closure
(2027-03-11 to 2027-03-17)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</si>
</sst>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i/>
      <sz val="10"/>
      <color rgb="FFBF8F0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0" borderId="0" xfId="0" applyFont="1"/>
    <xf numFmtId="0" fontId="4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0" borderId="0" xfId="0" applyFont="1"/>
    <xf numFmtId="0" fontId="4" fillId="7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zoomScaleNormal="100" workbookViewId="0">
      <pane ySplit="4" topLeftCell="A5" activePane="bottomLeft" state="frozen"/>
      <selection pane="bottomLeft" activeCell="D8" sqref="D8"/>
    </sheetView>
  </sheetViews>
  <sheetFormatPr defaultColWidth="8.6640625" defaultRowHeight="14.4" x14ac:dyDescent="0.3"/>
  <cols>
    <col min="1" max="1" width="8" customWidth="1"/>
    <col min="2" max="2" width="42" customWidth="1"/>
    <col min="3" max="3" width="24" customWidth="1"/>
    <col min="4" max="4" width="22" customWidth="1"/>
    <col min="5" max="5" width="10" customWidth="1"/>
    <col min="6" max="6" width="13" customWidth="1"/>
    <col min="7" max="7" width="11" customWidth="1"/>
    <col min="8" max="9" width="12" customWidth="1"/>
    <col min="10" max="10" width="34" customWidth="1"/>
  </cols>
  <sheetData>
    <row r="1" spans="1:10" ht="21.75" customHeight="1" x14ac:dyDescent="0.3">
      <c r="A1" s="3" t="s">
        <v>374</v>
      </c>
      <c r="B1" s="3"/>
      <c r="C1" s="3"/>
      <c r="D1" s="3"/>
      <c r="E1" s="3"/>
      <c r="F1" s="3"/>
      <c r="G1" s="3"/>
      <c r="H1" s="3"/>
      <c r="I1" s="3"/>
      <c r="J1" s="3"/>
    </row>
    <row r="2" spans="1:10" ht="15.75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4" spans="1:10" ht="26.4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0" x14ac:dyDescent="0.3">
      <c r="A5" s="5" t="s">
        <v>11</v>
      </c>
      <c r="B5" s="5" t="s">
        <v>12</v>
      </c>
      <c r="C5" s="5" t="s">
        <v>375</v>
      </c>
      <c r="D5" s="5" t="s">
        <v>13</v>
      </c>
      <c r="E5" s="5" t="s">
        <v>14</v>
      </c>
      <c r="F5" s="6" t="s">
        <v>15</v>
      </c>
      <c r="G5" s="5">
        <v>100</v>
      </c>
      <c r="H5" s="5" t="s">
        <v>16</v>
      </c>
      <c r="I5" s="5" t="s">
        <v>17</v>
      </c>
      <c r="J5" s="5"/>
    </row>
    <row r="6" spans="1:10" x14ac:dyDescent="0.3">
      <c r="A6" s="7" t="s">
        <v>18</v>
      </c>
      <c r="B6" s="7" t="s">
        <v>19</v>
      </c>
      <c r="C6" s="7" t="s">
        <v>375</v>
      </c>
      <c r="D6" s="7" t="s">
        <v>13</v>
      </c>
      <c r="E6" s="15" t="s">
        <v>14</v>
      </c>
      <c r="F6" s="6" t="s">
        <v>15</v>
      </c>
      <c r="G6" s="7">
        <v>100</v>
      </c>
      <c r="H6" s="7" t="s">
        <v>16</v>
      </c>
      <c r="I6" s="7" t="s">
        <v>17</v>
      </c>
      <c r="J6" s="7"/>
    </row>
    <row r="7" spans="1:10" ht="26.4" x14ac:dyDescent="0.3">
      <c r="A7" s="5" t="s">
        <v>20</v>
      </c>
      <c r="B7" s="5" t="s">
        <v>21</v>
      </c>
      <c r="C7" s="5" t="s">
        <v>375</v>
      </c>
      <c r="D7" s="5" t="s">
        <v>13</v>
      </c>
      <c r="E7" s="16" t="s">
        <v>14</v>
      </c>
      <c r="F7" s="6" t="s">
        <v>15</v>
      </c>
      <c r="G7" s="5">
        <v>100</v>
      </c>
      <c r="H7" s="5" t="s">
        <v>22</v>
      </c>
      <c r="I7" s="5" t="s">
        <v>23</v>
      </c>
      <c r="J7" s="5" t="s">
        <v>24</v>
      </c>
    </row>
    <row r="8" spans="1:10" x14ac:dyDescent="0.3">
      <c r="A8" s="7" t="s">
        <v>25</v>
      </c>
      <c r="B8" s="7" t="s">
        <v>26</v>
      </c>
      <c r="C8" s="7" t="s">
        <v>375</v>
      </c>
      <c r="D8" s="7" t="s">
        <v>13</v>
      </c>
      <c r="E8" s="7" t="s">
        <v>14</v>
      </c>
      <c r="F8" s="6" t="s">
        <v>15</v>
      </c>
      <c r="G8" s="7">
        <v>100</v>
      </c>
      <c r="H8" s="7" t="s">
        <v>27</v>
      </c>
      <c r="I8" s="7" t="s">
        <v>28</v>
      </c>
      <c r="J8" s="7"/>
    </row>
    <row r="9" spans="1:10" x14ac:dyDescent="0.3">
      <c r="A9" s="5" t="s">
        <v>29</v>
      </c>
      <c r="B9" s="5" t="s">
        <v>30</v>
      </c>
      <c r="C9" s="5" t="s">
        <v>375</v>
      </c>
      <c r="D9" s="5" t="s">
        <v>13</v>
      </c>
      <c r="E9" s="5" t="s">
        <v>14</v>
      </c>
      <c r="F9" s="6" t="s">
        <v>15</v>
      </c>
      <c r="G9" s="5">
        <v>100</v>
      </c>
      <c r="H9" s="5" t="s">
        <v>27</v>
      </c>
      <c r="I9" s="5" t="s">
        <v>28</v>
      </c>
      <c r="J9" s="5"/>
    </row>
    <row r="10" spans="1:10" x14ac:dyDescent="0.3">
      <c r="A10" s="7" t="s">
        <v>31</v>
      </c>
      <c r="B10" s="7" t="s">
        <v>32</v>
      </c>
      <c r="C10" s="7" t="s">
        <v>376</v>
      </c>
      <c r="D10" s="7" t="s">
        <v>13</v>
      </c>
      <c r="E10" s="7" t="s">
        <v>14</v>
      </c>
      <c r="F10" s="6" t="s">
        <v>15</v>
      </c>
      <c r="G10" s="7">
        <v>100</v>
      </c>
      <c r="H10" s="7" t="s">
        <v>33</v>
      </c>
      <c r="I10" s="7" t="s">
        <v>34</v>
      </c>
      <c r="J10" s="7"/>
    </row>
    <row r="11" spans="1:10" ht="26.4" x14ac:dyDescent="0.3">
      <c r="A11" s="5" t="s">
        <v>35</v>
      </c>
      <c r="B11" s="5" t="s">
        <v>36</v>
      </c>
      <c r="C11" s="5" t="s">
        <v>376</v>
      </c>
      <c r="D11" s="5" t="s">
        <v>13</v>
      </c>
      <c r="E11" s="5" t="s">
        <v>14</v>
      </c>
      <c r="F11" s="6" t="s">
        <v>15</v>
      </c>
      <c r="G11" s="5">
        <v>100</v>
      </c>
      <c r="H11" s="5" t="s">
        <v>37</v>
      </c>
      <c r="I11" s="5" t="s">
        <v>38</v>
      </c>
      <c r="J11" s="5"/>
    </row>
    <row r="12" spans="1:10" x14ac:dyDescent="0.3">
      <c r="A12" s="7" t="s">
        <v>39</v>
      </c>
      <c r="B12" s="7" t="s">
        <v>40</v>
      </c>
      <c r="C12" s="7" t="s">
        <v>376</v>
      </c>
      <c r="D12" s="7" t="s">
        <v>13</v>
      </c>
      <c r="E12" s="7" t="s">
        <v>14</v>
      </c>
      <c r="F12" s="6" t="s">
        <v>15</v>
      </c>
      <c r="G12" s="7">
        <v>100</v>
      </c>
      <c r="H12" s="7" t="s">
        <v>41</v>
      </c>
      <c r="I12" s="7" t="s">
        <v>42</v>
      </c>
      <c r="J12" s="7"/>
    </row>
    <row r="13" spans="1:10" x14ac:dyDescent="0.3">
      <c r="A13" s="5" t="s">
        <v>43</v>
      </c>
      <c r="B13" s="5" t="s">
        <v>44</v>
      </c>
      <c r="C13" s="5" t="s">
        <v>376</v>
      </c>
      <c r="D13" s="5" t="s">
        <v>13</v>
      </c>
      <c r="E13" s="5" t="s">
        <v>14</v>
      </c>
      <c r="F13" s="6" t="s">
        <v>15</v>
      </c>
      <c r="G13" s="5">
        <v>100</v>
      </c>
      <c r="H13" s="5" t="s">
        <v>45</v>
      </c>
      <c r="I13" s="5" t="s">
        <v>46</v>
      </c>
      <c r="J13" s="5"/>
    </row>
    <row r="14" spans="1:10" x14ac:dyDescent="0.3">
      <c r="A14" s="7" t="s">
        <v>47</v>
      </c>
      <c r="B14" s="7" t="s">
        <v>48</v>
      </c>
      <c r="C14" s="7" t="s">
        <v>376</v>
      </c>
      <c r="D14" s="7" t="s">
        <v>13</v>
      </c>
      <c r="E14" s="7" t="s">
        <v>49</v>
      </c>
      <c r="F14" s="6" t="s">
        <v>15</v>
      </c>
      <c r="G14" s="7">
        <v>100</v>
      </c>
      <c r="H14" s="7" t="s">
        <v>33</v>
      </c>
      <c r="I14" s="7" t="s">
        <v>34</v>
      </c>
      <c r="J14" s="7"/>
    </row>
    <row r="15" spans="1:10" x14ac:dyDescent="0.3">
      <c r="A15" s="5" t="s">
        <v>50</v>
      </c>
      <c r="B15" s="5" t="s">
        <v>51</v>
      </c>
      <c r="C15" s="5" t="s">
        <v>376</v>
      </c>
      <c r="D15" s="5" t="s">
        <v>13</v>
      </c>
      <c r="E15" s="5" t="s">
        <v>52</v>
      </c>
      <c r="F15" s="6" t="s">
        <v>15</v>
      </c>
      <c r="G15" s="5">
        <v>100</v>
      </c>
      <c r="H15" s="5" t="s">
        <v>33</v>
      </c>
      <c r="I15" s="5" t="s">
        <v>53</v>
      </c>
      <c r="J15" s="5"/>
    </row>
    <row r="16" spans="1:10" x14ac:dyDescent="0.3">
      <c r="A16" s="7" t="s">
        <v>54</v>
      </c>
      <c r="B16" s="7" t="s">
        <v>55</v>
      </c>
      <c r="C16" s="7" t="s">
        <v>376</v>
      </c>
      <c r="D16" s="7" t="s">
        <v>13</v>
      </c>
      <c r="E16" s="7" t="s">
        <v>49</v>
      </c>
      <c r="F16" s="6" t="s">
        <v>15</v>
      </c>
      <c r="G16" s="7">
        <v>100</v>
      </c>
      <c r="H16" s="7" t="s">
        <v>27</v>
      </c>
      <c r="I16" s="7" t="s">
        <v>28</v>
      </c>
      <c r="J16" s="7"/>
    </row>
    <row r="17" spans="1:10" x14ac:dyDescent="0.3">
      <c r="A17" s="5" t="s">
        <v>56</v>
      </c>
      <c r="B17" s="5" t="s">
        <v>57</v>
      </c>
      <c r="C17" s="5" t="s">
        <v>376</v>
      </c>
      <c r="D17" s="5" t="s">
        <v>13</v>
      </c>
      <c r="E17" s="5" t="s">
        <v>49</v>
      </c>
      <c r="F17" s="6" t="s">
        <v>15</v>
      </c>
      <c r="G17" s="5">
        <v>100</v>
      </c>
      <c r="H17" s="5" t="s">
        <v>41</v>
      </c>
      <c r="I17" s="5" t="s">
        <v>45</v>
      </c>
      <c r="J17" s="5"/>
    </row>
    <row r="18" spans="1:10" ht="26.4" x14ac:dyDescent="0.3">
      <c r="A18" s="7" t="s">
        <v>58</v>
      </c>
      <c r="B18" s="7" t="s">
        <v>59</v>
      </c>
      <c r="C18" s="7" t="s">
        <v>376</v>
      </c>
      <c r="D18" s="7" t="s">
        <v>13</v>
      </c>
      <c r="E18" s="7" t="s">
        <v>14</v>
      </c>
      <c r="F18" s="6" t="s">
        <v>15</v>
      </c>
      <c r="G18" s="7">
        <v>100</v>
      </c>
      <c r="H18" s="7" t="s">
        <v>60</v>
      </c>
      <c r="I18" s="7" t="s">
        <v>61</v>
      </c>
      <c r="J18" s="7"/>
    </row>
    <row r="19" spans="1:10" ht="26.4" x14ac:dyDescent="0.3">
      <c r="A19" s="5" t="s">
        <v>62</v>
      </c>
      <c r="B19" s="5" t="s">
        <v>63</v>
      </c>
      <c r="C19" s="5" t="s">
        <v>376</v>
      </c>
      <c r="D19" s="5" t="s">
        <v>64</v>
      </c>
      <c r="E19" s="5" t="s">
        <v>14</v>
      </c>
      <c r="F19" s="8" t="s">
        <v>65</v>
      </c>
      <c r="G19" s="5">
        <v>80</v>
      </c>
      <c r="H19" s="5" t="s">
        <v>66</v>
      </c>
      <c r="I19" s="5" t="s">
        <v>66</v>
      </c>
      <c r="J19" s="5" t="s">
        <v>67</v>
      </c>
    </row>
    <row r="20" spans="1:10" ht="26.4" x14ac:dyDescent="0.3">
      <c r="A20" s="7" t="s">
        <v>68</v>
      </c>
      <c r="B20" s="7" t="s">
        <v>69</v>
      </c>
      <c r="C20" s="7" t="s">
        <v>377</v>
      </c>
      <c r="D20" s="7" t="s">
        <v>70</v>
      </c>
      <c r="E20" s="7" t="s">
        <v>14</v>
      </c>
      <c r="F20" s="7" t="s">
        <v>71</v>
      </c>
      <c r="G20" s="7">
        <v>0</v>
      </c>
      <c r="H20" s="7" t="s">
        <v>72</v>
      </c>
      <c r="I20" s="7" t="s">
        <v>73</v>
      </c>
      <c r="J20" s="7"/>
    </row>
    <row r="21" spans="1:10" ht="26.4" x14ac:dyDescent="0.3">
      <c r="A21" s="5" t="s">
        <v>74</v>
      </c>
      <c r="B21" s="5" t="s">
        <v>75</v>
      </c>
      <c r="C21" s="5" t="s">
        <v>377</v>
      </c>
      <c r="D21" s="5" t="s">
        <v>76</v>
      </c>
      <c r="E21" s="5" t="s">
        <v>14</v>
      </c>
      <c r="F21" s="5" t="s">
        <v>71</v>
      </c>
      <c r="G21" s="5">
        <v>0</v>
      </c>
      <c r="H21" s="5" t="s">
        <v>72</v>
      </c>
      <c r="I21" s="5" t="s">
        <v>73</v>
      </c>
      <c r="J21" s="5"/>
    </row>
    <row r="22" spans="1:10" ht="26.4" x14ac:dyDescent="0.3">
      <c r="A22" s="7" t="s">
        <v>77</v>
      </c>
      <c r="B22" s="7" t="s">
        <v>78</v>
      </c>
      <c r="C22" s="7" t="s">
        <v>377</v>
      </c>
      <c r="D22" s="7" t="s">
        <v>70</v>
      </c>
      <c r="E22" s="7" t="s">
        <v>14</v>
      </c>
      <c r="F22" s="15" t="s">
        <v>71</v>
      </c>
      <c r="G22" s="7">
        <v>0</v>
      </c>
      <c r="H22" s="7" t="s">
        <v>72</v>
      </c>
      <c r="I22" s="7" t="s">
        <v>73</v>
      </c>
      <c r="J22" s="7" t="s">
        <v>378</v>
      </c>
    </row>
    <row r="23" spans="1:10" ht="26.4" x14ac:dyDescent="0.3">
      <c r="A23" s="5" t="s">
        <v>79</v>
      </c>
      <c r="B23" s="5" t="s">
        <v>80</v>
      </c>
      <c r="C23" s="5" t="s">
        <v>377</v>
      </c>
      <c r="D23" s="5" t="s">
        <v>76</v>
      </c>
      <c r="E23" s="5" t="s">
        <v>14</v>
      </c>
      <c r="F23" s="5" t="s">
        <v>71</v>
      </c>
      <c r="G23" s="5">
        <v>0</v>
      </c>
      <c r="H23" s="5" t="s">
        <v>81</v>
      </c>
      <c r="I23" s="5" t="s">
        <v>82</v>
      </c>
      <c r="J23" s="5"/>
    </row>
    <row r="24" spans="1:10" x14ac:dyDescent="0.3">
      <c r="A24" s="7" t="s">
        <v>83</v>
      </c>
      <c r="B24" s="7" t="s">
        <v>84</v>
      </c>
      <c r="C24" s="7" t="s">
        <v>379</v>
      </c>
      <c r="D24" s="7" t="s">
        <v>76</v>
      </c>
      <c r="E24" s="7" t="s">
        <v>14</v>
      </c>
      <c r="F24" s="7" t="s">
        <v>71</v>
      </c>
      <c r="G24" s="7">
        <v>0</v>
      </c>
      <c r="H24" s="7" t="s">
        <v>85</v>
      </c>
      <c r="I24" s="7" t="s">
        <v>86</v>
      </c>
      <c r="J24" s="7"/>
    </row>
    <row r="25" spans="1:10" x14ac:dyDescent="0.3">
      <c r="A25" s="5" t="s">
        <v>87</v>
      </c>
      <c r="B25" s="5" t="s">
        <v>88</v>
      </c>
      <c r="C25" s="5" t="s">
        <v>379</v>
      </c>
      <c r="D25" s="5" t="s">
        <v>76</v>
      </c>
      <c r="E25" s="5" t="s">
        <v>14</v>
      </c>
      <c r="F25" s="5" t="s">
        <v>71</v>
      </c>
      <c r="G25" s="5">
        <v>0</v>
      </c>
      <c r="H25" s="5" t="s">
        <v>85</v>
      </c>
      <c r="I25" s="5" t="s">
        <v>86</v>
      </c>
      <c r="J25" s="5"/>
    </row>
    <row r="26" spans="1:10" x14ac:dyDescent="0.3">
      <c r="A26" s="7" t="s">
        <v>89</v>
      </c>
      <c r="B26" s="7" t="s">
        <v>90</v>
      </c>
      <c r="C26" s="7" t="s">
        <v>379</v>
      </c>
      <c r="D26" s="7" t="s">
        <v>91</v>
      </c>
      <c r="E26" s="7" t="s">
        <v>14</v>
      </c>
      <c r="F26" s="7" t="s">
        <v>71</v>
      </c>
      <c r="G26" s="7">
        <v>0</v>
      </c>
      <c r="H26" s="7" t="s">
        <v>92</v>
      </c>
      <c r="I26" s="7" t="s">
        <v>93</v>
      </c>
      <c r="J26" s="7"/>
    </row>
    <row r="27" spans="1:10" x14ac:dyDescent="0.3">
      <c r="A27" s="5" t="s">
        <v>94</v>
      </c>
      <c r="B27" s="5" t="s">
        <v>95</v>
      </c>
      <c r="C27" s="5" t="s">
        <v>379</v>
      </c>
      <c r="D27" s="5" t="s">
        <v>96</v>
      </c>
      <c r="E27" s="16" t="s">
        <v>14</v>
      </c>
      <c r="F27" s="5" t="s">
        <v>71</v>
      </c>
      <c r="G27" s="5">
        <v>0</v>
      </c>
      <c r="H27" s="5" t="s">
        <v>92</v>
      </c>
      <c r="I27" s="5" t="s">
        <v>93</v>
      </c>
      <c r="J27" s="5"/>
    </row>
    <row r="28" spans="1:10" x14ac:dyDescent="0.3">
      <c r="A28" s="7" t="s">
        <v>97</v>
      </c>
      <c r="B28" s="7" t="s">
        <v>98</v>
      </c>
      <c r="C28" s="7" t="s">
        <v>379</v>
      </c>
      <c r="D28" s="7" t="s">
        <v>70</v>
      </c>
      <c r="E28" s="7" t="s">
        <v>14</v>
      </c>
      <c r="F28" s="7" t="s">
        <v>71</v>
      </c>
      <c r="G28" s="7">
        <v>0</v>
      </c>
      <c r="H28" s="7" t="s">
        <v>92</v>
      </c>
      <c r="I28" s="7" t="s">
        <v>93</v>
      </c>
      <c r="J28" s="7"/>
    </row>
    <row r="29" spans="1:10" ht="26.4" x14ac:dyDescent="0.3">
      <c r="A29" s="5" t="s">
        <v>99</v>
      </c>
      <c r="B29" s="5" t="s">
        <v>100</v>
      </c>
      <c r="C29" s="5" t="s">
        <v>379</v>
      </c>
      <c r="D29" s="5" t="s">
        <v>64</v>
      </c>
      <c r="E29" s="5" t="s">
        <v>14</v>
      </c>
      <c r="F29" s="5" t="s">
        <v>71</v>
      </c>
      <c r="G29" s="5">
        <v>0</v>
      </c>
      <c r="H29" s="5" t="s">
        <v>101</v>
      </c>
      <c r="I29" s="5" t="s">
        <v>101</v>
      </c>
      <c r="J29" s="5"/>
    </row>
    <row r="30" spans="1:10" ht="26.4" x14ac:dyDescent="0.3">
      <c r="A30" s="7" t="s">
        <v>102</v>
      </c>
      <c r="B30" s="7" t="s">
        <v>103</v>
      </c>
      <c r="C30" s="7" t="s">
        <v>380</v>
      </c>
      <c r="D30" s="7" t="s">
        <v>76</v>
      </c>
      <c r="E30" s="7" t="s">
        <v>49</v>
      </c>
      <c r="F30" s="7" t="s">
        <v>71</v>
      </c>
      <c r="G30" s="7">
        <v>0</v>
      </c>
      <c r="H30" s="7" t="s">
        <v>104</v>
      </c>
      <c r="I30" s="7" t="s">
        <v>105</v>
      </c>
      <c r="J30" s="7"/>
    </row>
    <row r="31" spans="1:10" ht="26.4" x14ac:dyDescent="0.3">
      <c r="A31" s="5" t="s">
        <v>106</v>
      </c>
      <c r="B31" s="5" t="s">
        <v>107</v>
      </c>
      <c r="C31" s="5" t="s">
        <v>380</v>
      </c>
      <c r="D31" s="5" t="s">
        <v>70</v>
      </c>
      <c r="E31" s="5" t="s">
        <v>49</v>
      </c>
      <c r="F31" s="5" t="s">
        <v>71</v>
      </c>
      <c r="G31" s="5">
        <v>0</v>
      </c>
      <c r="H31" s="5" t="s">
        <v>104</v>
      </c>
      <c r="I31" s="5" t="s">
        <v>108</v>
      </c>
      <c r="J31" s="5"/>
    </row>
    <row r="32" spans="1:10" ht="26.4" x14ac:dyDescent="0.3">
      <c r="A32" s="7" t="s">
        <v>109</v>
      </c>
      <c r="B32" s="7" t="s">
        <v>110</v>
      </c>
      <c r="C32" s="7" t="s">
        <v>380</v>
      </c>
      <c r="D32" s="7" t="s">
        <v>91</v>
      </c>
      <c r="E32" s="7" t="s">
        <v>49</v>
      </c>
      <c r="F32" s="7" t="s">
        <v>71</v>
      </c>
      <c r="G32" s="7">
        <v>0</v>
      </c>
      <c r="H32" s="7" t="s">
        <v>111</v>
      </c>
      <c r="I32" s="7" t="s">
        <v>105</v>
      </c>
      <c r="J32" s="7"/>
    </row>
    <row r="33" spans="1:10" ht="26.4" x14ac:dyDescent="0.3">
      <c r="A33" s="5" t="s">
        <v>112</v>
      </c>
      <c r="B33" s="5" t="s">
        <v>113</v>
      </c>
      <c r="C33" s="5" t="s">
        <v>380</v>
      </c>
      <c r="D33" s="5" t="s">
        <v>96</v>
      </c>
      <c r="E33" s="5" t="s">
        <v>14</v>
      </c>
      <c r="F33" s="5" t="s">
        <v>71</v>
      </c>
      <c r="G33" s="5">
        <v>0</v>
      </c>
      <c r="H33" s="5" t="s">
        <v>104</v>
      </c>
      <c r="I33" s="5" t="s">
        <v>114</v>
      </c>
      <c r="J33" s="5"/>
    </row>
    <row r="34" spans="1:10" ht="26.4" x14ac:dyDescent="0.3">
      <c r="A34" s="7" t="s">
        <v>115</v>
      </c>
      <c r="B34" s="7" t="s">
        <v>116</v>
      </c>
      <c r="C34" s="7" t="s">
        <v>380</v>
      </c>
      <c r="D34" s="7" t="s">
        <v>70</v>
      </c>
      <c r="E34" s="7" t="s">
        <v>49</v>
      </c>
      <c r="F34" s="7" t="s">
        <v>71</v>
      </c>
      <c r="G34" s="7">
        <v>0</v>
      </c>
      <c r="H34" s="7" t="s">
        <v>111</v>
      </c>
      <c r="I34" s="7" t="s">
        <v>117</v>
      </c>
      <c r="J34" s="7"/>
    </row>
    <row r="35" spans="1:10" ht="26.4" x14ac:dyDescent="0.3">
      <c r="A35" s="5" t="s">
        <v>118</v>
      </c>
      <c r="B35" s="5" t="s">
        <v>119</v>
      </c>
      <c r="C35" s="5" t="s">
        <v>380</v>
      </c>
      <c r="D35" s="5" t="s">
        <v>13</v>
      </c>
      <c r="E35" s="5" t="s">
        <v>14</v>
      </c>
      <c r="F35" s="5" t="s">
        <v>71</v>
      </c>
      <c r="G35" s="5">
        <v>0</v>
      </c>
      <c r="H35" s="5" t="s">
        <v>120</v>
      </c>
      <c r="I35" s="5" t="s">
        <v>120</v>
      </c>
      <c r="J35" s="5"/>
    </row>
    <row r="36" spans="1:10" ht="26.4" x14ac:dyDescent="0.3">
      <c r="A36" s="7" t="s">
        <v>121</v>
      </c>
      <c r="B36" s="7" t="s">
        <v>122</v>
      </c>
      <c r="C36" s="7" t="s">
        <v>381</v>
      </c>
      <c r="D36" s="7" t="s">
        <v>123</v>
      </c>
      <c r="E36" s="7" t="s">
        <v>14</v>
      </c>
      <c r="F36" s="7" t="s">
        <v>71</v>
      </c>
      <c r="G36" s="7">
        <v>0</v>
      </c>
      <c r="H36" s="7" t="s">
        <v>124</v>
      </c>
      <c r="I36" s="7" t="s">
        <v>125</v>
      </c>
      <c r="J36" s="7"/>
    </row>
    <row r="37" spans="1:10" ht="26.4" x14ac:dyDescent="0.3">
      <c r="A37" s="5" t="s">
        <v>126</v>
      </c>
      <c r="B37" s="5" t="s">
        <v>127</v>
      </c>
      <c r="C37" s="5" t="s">
        <v>381</v>
      </c>
      <c r="D37" s="5" t="s">
        <v>13</v>
      </c>
      <c r="E37" s="5" t="s">
        <v>14</v>
      </c>
      <c r="F37" s="5" t="s">
        <v>71</v>
      </c>
      <c r="G37" s="5">
        <v>0</v>
      </c>
      <c r="H37" s="5" t="s">
        <v>128</v>
      </c>
      <c r="I37" s="5" t="s">
        <v>129</v>
      </c>
      <c r="J37" s="5"/>
    </row>
    <row r="38" spans="1:10" ht="26.4" x14ac:dyDescent="0.3">
      <c r="A38" s="7" t="s">
        <v>130</v>
      </c>
      <c r="B38" s="7" t="s">
        <v>131</v>
      </c>
      <c r="C38" s="7" t="s">
        <v>381</v>
      </c>
      <c r="D38" s="7" t="s">
        <v>123</v>
      </c>
      <c r="E38" s="7" t="s">
        <v>14</v>
      </c>
      <c r="F38" s="7" t="s">
        <v>71</v>
      </c>
      <c r="G38" s="7">
        <v>0</v>
      </c>
      <c r="H38" s="7" t="s">
        <v>132</v>
      </c>
      <c r="I38" s="7" t="s">
        <v>133</v>
      </c>
      <c r="J38" s="7"/>
    </row>
    <row r="39" spans="1:10" x14ac:dyDescent="0.3">
      <c r="A39" s="5" t="s">
        <v>134</v>
      </c>
      <c r="B39" s="5" t="s">
        <v>135</v>
      </c>
      <c r="C39" s="5" t="s">
        <v>381</v>
      </c>
      <c r="D39" s="5" t="s">
        <v>76</v>
      </c>
      <c r="E39" s="5" t="s">
        <v>14</v>
      </c>
      <c r="F39" s="5" t="s">
        <v>71</v>
      </c>
      <c r="G39" s="5">
        <v>0</v>
      </c>
      <c r="H39" s="5" t="s">
        <v>136</v>
      </c>
      <c r="I39" s="5" t="s">
        <v>136</v>
      </c>
      <c r="J39" s="5"/>
    </row>
    <row r="40" spans="1:10" ht="26.4" x14ac:dyDescent="0.3">
      <c r="A40" s="7" t="s">
        <v>137</v>
      </c>
      <c r="B40" s="7" t="s">
        <v>138</v>
      </c>
      <c r="C40" s="7" t="s">
        <v>382</v>
      </c>
      <c r="D40" s="7" t="s">
        <v>76</v>
      </c>
      <c r="E40" s="7" t="s">
        <v>14</v>
      </c>
      <c r="F40" s="7" t="s">
        <v>71</v>
      </c>
      <c r="G40" s="7">
        <v>0</v>
      </c>
      <c r="H40" s="7" t="s">
        <v>139</v>
      </c>
      <c r="I40" s="7" t="s">
        <v>140</v>
      </c>
      <c r="J40" s="7"/>
    </row>
    <row r="41" spans="1:10" ht="26.4" x14ac:dyDescent="0.3">
      <c r="A41" s="5" t="s">
        <v>141</v>
      </c>
      <c r="B41" s="5" t="s">
        <v>142</v>
      </c>
      <c r="C41" s="5" t="s">
        <v>382</v>
      </c>
      <c r="D41" s="5" t="s">
        <v>96</v>
      </c>
      <c r="E41" s="5" t="s">
        <v>14</v>
      </c>
      <c r="F41" s="5" t="s">
        <v>71</v>
      </c>
      <c r="G41" s="5">
        <v>0</v>
      </c>
      <c r="H41" s="5" t="s">
        <v>139</v>
      </c>
      <c r="I41" s="5" t="s">
        <v>140</v>
      </c>
      <c r="J41" s="5"/>
    </row>
    <row r="42" spans="1:10" ht="26.4" x14ac:dyDescent="0.3">
      <c r="A42" s="7" t="s">
        <v>143</v>
      </c>
      <c r="B42" s="7" t="s">
        <v>144</v>
      </c>
      <c r="C42" s="7" t="s">
        <v>382</v>
      </c>
      <c r="D42" s="7" t="s">
        <v>145</v>
      </c>
      <c r="E42" s="7" t="s">
        <v>14</v>
      </c>
      <c r="F42" s="7" t="s">
        <v>71</v>
      </c>
      <c r="G42" s="7">
        <v>0</v>
      </c>
      <c r="H42" s="7" t="s">
        <v>146</v>
      </c>
      <c r="I42" s="7" t="s">
        <v>147</v>
      </c>
      <c r="J42" s="7"/>
    </row>
    <row r="43" spans="1:10" ht="26.4" x14ac:dyDescent="0.3">
      <c r="A43" s="5" t="s">
        <v>148</v>
      </c>
      <c r="B43" s="5" t="s">
        <v>149</v>
      </c>
      <c r="C43" s="5" t="s">
        <v>382</v>
      </c>
      <c r="D43" s="5" t="s">
        <v>150</v>
      </c>
      <c r="E43" s="5" t="s">
        <v>14</v>
      </c>
      <c r="F43" s="5" t="s">
        <v>71</v>
      </c>
      <c r="G43" s="5">
        <v>0</v>
      </c>
      <c r="H43" s="5" t="s">
        <v>151</v>
      </c>
      <c r="I43" s="5" t="s">
        <v>152</v>
      </c>
      <c r="J43" s="5"/>
    </row>
    <row r="44" spans="1:10" ht="26.4" x14ac:dyDescent="0.3">
      <c r="A44" s="7" t="s">
        <v>153</v>
      </c>
      <c r="B44" s="7" t="s">
        <v>154</v>
      </c>
      <c r="C44" s="7" t="s">
        <v>383</v>
      </c>
      <c r="D44" s="7" t="s">
        <v>155</v>
      </c>
      <c r="E44" s="7" t="s">
        <v>14</v>
      </c>
      <c r="F44" s="7" t="s">
        <v>71</v>
      </c>
      <c r="G44" s="7">
        <v>0</v>
      </c>
      <c r="H44" s="7" t="s">
        <v>156</v>
      </c>
      <c r="I44" s="7" t="s">
        <v>157</v>
      </c>
      <c r="J44" s="7"/>
    </row>
    <row r="45" spans="1:10" ht="26.4" x14ac:dyDescent="0.3">
      <c r="A45" s="5" t="s">
        <v>158</v>
      </c>
      <c r="B45" s="5" t="s">
        <v>159</v>
      </c>
      <c r="C45" s="5" t="s">
        <v>383</v>
      </c>
      <c r="D45" s="5" t="s">
        <v>13</v>
      </c>
      <c r="E45" s="16" t="s">
        <v>14</v>
      </c>
      <c r="F45" s="5" t="s">
        <v>71</v>
      </c>
      <c r="G45" s="5">
        <v>0</v>
      </c>
      <c r="H45" s="5" t="s">
        <v>160</v>
      </c>
      <c r="I45" s="5" t="s">
        <v>160</v>
      </c>
      <c r="J45" s="5"/>
    </row>
    <row r="46" spans="1:10" ht="26.4" x14ac:dyDescent="0.3">
      <c r="A46" s="7" t="s">
        <v>161</v>
      </c>
      <c r="B46" s="7" t="s">
        <v>162</v>
      </c>
      <c r="C46" s="7" t="s">
        <v>383</v>
      </c>
      <c r="D46" s="7" t="s">
        <v>13</v>
      </c>
      <c r="E46" s="7" t="s">
        <v>14</v>
      </c>
      <c r="F46" s="7" t="s">
        <v>71</v>
      </c>
      <c r="G46" s="7">
        <v>0</v>
      </c>
      <c r="H46" s="7" t="s">
        <v>163</v>
      </c>
      <c r="I46" s="7" t="s">
        <v>163</v>
      </c>
      <c r="J46" s="7"/>
    </row>
    <row r="47" spans="1:10" x14ac:dyDescent="0.3">
      <c r="E47" s="17"/>
    </row>
  </sheetData>
  <autoFilter ref="A4:J46" xr:uid="{00000000-0009-0000-0000-000000000000}"/>
  <mergeCells count="2">
    <mergeCell ref="A1:J1"/>
    <mergeCell ref="A2:J2"/>
  </mergeCells>
  <dataValidations count="2">
    <dataValidation type="list" showInputMessage="1" showErrorMessage="1" sqref="E5:E46" xr:uid="{F812A19A-74C8-42BD-A725-18D54D58E264}">
      <formula1>"High, Medium, Low"</formula1>
    </dataValidation>
    <dataValidation type="list" allowBlank="1" showInputMessage="1" showErrorMessage="1" sqref="F1:F1048576" xr:uid="{ED02B757-F7F8-4818-85DF-35A4D6401821}">
      <formula1>"Complete, In Progress, Not Started"</formula1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4"/>
  <sheetViews>
    <sheetView tabSelected="1" zoomScaleNormal="100" workbookViewId="0">
      <pane ySplit="4" topLeftCell="A13" activePane="bottomLeft" state="frozen"/>
      <selection pane="bottomLeft" sqref="A1:G1"/>
    </sheetView>
  </sheetViews>
  <sheetFormatPr defaultColWidth="8.6640625" defaultRowHeight="14.4" x14ac:dyDescent="0.3"/>
  <cols>
    <col min="1" max="1" width="26" customWidth="1"/>
    <col min="2" max="2" width="46" customWidth="1"/>
    <col min="3" max="3" width="34" customWidth="1"/>
    <col min="4" max="5" width="12" customWidth="1"/>
    <col min="6" max="6" width="20" customWidth="1"/>
    <col min="7" max="7" width="16" customWidth="1"/>
  </cols>
  <sheetData>
    <row r="1" spans="1:7" ht="21.75" customHeight="1" x14ac:dyDescent="0.3">
      <c r="A1" s="3" t="s">
        <v>384</v>
      </c>
      <c r="B1" s="3"/>
      <c r="C1" s="3"/>
      <c r="D1" s="3"/>
      <c r="E1" s="3"/>
      <c r="F1" s="3"/>
      <c r="G1" s="3"/>
    </row>
    <row r="2" spans="1:7" ht="15.75" customHeight="1" x14ac:dyDescent="0.3">
      <c r="A2" s="2" t="s">
        <v>164</v>
      </c>
      <c r="B2" s="2"/>
      <c r="C2" s="2"/>
      <c r="D2" s="2"/>
      <c r="E2" s="2"/>
      <c r="F2" s="2"/>
      <c r="G2" s="2"/>
    </row>
    <row r="4" spans="1:7" x14ac:dyDescent="0.3">
      <c r="A4" s="4" t="s">
        <v>165</v>
      </c>
      <c r="B4" s="4" t="s">
        <v>166</v>
      </c>
      <c r="C4" s="4" t="s">
        <v>167</v>
      </c>
      <c r="D4" s="4" t="s">
        <v>8</v>
      </c>
      <c r="E4" s="4" t="s">
        <v>9</v>
      </c>
      <c r="F4" s="4" t="s">
        <v>6</v>
      </c>
      <c r="G4" s="4" t="s">
        <v>168</v>
      </c>
    </row>
    <row r="5" spans="1:7" ht="15" customHeight="1" x14ac:dyDescent="0.3">
      <c r="A5" s="1" t="s">
        <v>385</v>
      </c>
      <c r="B5" s="7" t="s">
        <v>169</v>
      </c>
      <c r="C5" s="7"/>
      <c r="D5" s="7" t="s">
        <v>16</v>
      </c>
      <c r="E5" s="7" t="s">
        <v>17</v>
      </c>
      <c r="F5" s="6" t="s">
        <v>15</v>
      </c>
      <c r="G5" s="7" t="s">
        <v>386</v>
      </c>
    </row>
    <row r="6" spans="1:7" ht="26.4" x14ac:dyDescent="0.3">
      <c r="A6" s="1"/>
      <c r="B6" s="7" t="s">
        <v>170</v>
      </c>
      <c r="C6" s="7"/>
      <c r="D6" s="7" t="s">
        <v>16</v>
      </c>
      <c r="E6" s="7" t="s">
        <v>17</v>
      </c>
      <c r="F6" s="6" t="s">
        <v>15</v>
      </c>
      <c r="G6" s="7" t="s">
        <v>386</v>
      </c>
    </row>
    <row r="7" spans="1:7" ht="26.4" x14ac:dyDescent="0.3">
      <c r="A7" s="1"/>
      <c r="B7" s="7" t="s">
        <v>171</v>
      </c>
      <c r="C7" s="7"/>
      <c r="D7" s="7" t="s">
        <v>22</v>
      </c>
      <c r="E7" s="7" t="s">
        <v>23</v>
      </c>
      <c r="F7" s="6" t="s">
        <v>15</v>
      </c>
      <c r="G7" s="7" t="s">
        <v>172</v>
      </c>
    </row>
    <row r="8" spans="1:7" x14ac:dyDescent="0.3">
      <c r="A8" s="1"/>
      <c r="B8" s="7" t="s">
        <v>173</v>
      </c>
      <c r="C8" s="7"/>
      <c r="D8" s="7" t="s">
        <v>27</v>
      </c>
      <c r="E8" s="7" t="s">
        <v>28</v>
      </c>
      <c r="F8" s="6" t="s">
        <v>15</v>
      </c>
      <c r="G8" s="7" t="s">
        <v>20</v>
      </c>
    </row>
    <row r="9" spans="1:7" x14ac:dyDescent="0.3">
      <c r="A9" s="1"/>
      <c r="B9" s="7" t="s">
        <v>174</v>
      </c>
      <c r="C9" s="7"/>
      <c r="D9" s="7" t="s">
        <v>27</v>
      </c>
      <c r="E9" s="7" t="s">
        <v>28</v>
      </c>
      <c r="F9" s="6" t="s">
        <v>15</v>
      </c>
      <c r="G9" s="7" t="s">
        <v>20</v>
      </c>
    </row>
    <row r="10" spans="1:7" ht="26.4" x14ac:dyDescent="0.3">
      <c r="A10" s="1"/>
      <c r="B10" s="9" t="s">
        <v>167</v>
      </c>
      <c r="C10" s="9" t="s">
        <v>175</v>
      </c>
      <c r="D10" s="9" t="s">
        <v>28</v>
      </c>
      <c r="E10" s="9" t="s">
        <v>28</v>
      </c>
      <c r="F10" s="9" t="s">
        <v>176</v>
      </c>
      <c r="G10" s="9"/>
    </row>
    <row r="11" spans="1:7" ht="15" customHeight="1" x14ac:dyDescent="0.3">
      <c r="A11" s="1" t="s">
        <v>387</v>
      </c>
      <c r="B11" s="5" t="s">
        <v>177</v>
      </c>
      <c r="C11" s="5"/>
      <c r="D11" s="5" t="s">
        <v>33</v>
      </c>
      <c r="E11" s="5" t="s">
        <v>34</v>
      </c>
      <c r="F11" s="6" t="s">
        <v>15</v>
      </c>
      <c r="G11" s="5" t="s">
        <v>178</v>
      </c>
    </row>
    <row r="12" spans="1:7" ht="26.4" x14ac:dyDescent="0.3">
      <c r="A12" s="1"/>
      <c r="B12" s="5" t="s">
        <v>179</v>
      </c>
      <c r="C12" s="5"/>
      <c r="D12" s="5" t="s">
        <v>37</v>
      </c>
      <c r="E12" s="5" t="s">
        <v>38</v>
      </c>
      <c r="F12" s="6" t="s">
        <v>15</v>
      </c>
      <c r="G12" s="5" t="s">
        <v>31</v>
      </c>
    </row>
    <row r="13" spans="1:7" ht="26.4" x14ac:dyDescent="0.3">
      <c r="A13" s="1"/>
      <c r="B13" s="5" t="s">
        <v>180</v>
      </c>
      <c r="C13" s="5"/>
      <c r="D13" s="5" t="s">
        <v>41</v>
      </c>
      <c r="E13" s="5" t="s">
        <v>42</v>
      </c>
      <c r="F13" s="6" t="s">
        <v>15</v>
      </c>
      <c r="G13" s="5" t="s">
        <v>35</v>
      </c>
    </row>
    <row r="14" spans="1:7" x14ac:dyDescent="0.3">
      <c r="A14" s="1"/>
      <c r="B14" s="5" t="s">
        <v>181</v>
      </c>
      <c r="C14" s="5"/>
      <c r="D14" s="5" t="s">
        <v>45</v>
      </c>
      <c r="E14" s="5" t="s">
        <v>46</v>
      </c>
      <c r="F14" s="6" t="s">
        <v>15</v>
      </c>
      <c r="G14" s="5" t="s">
        <v>39</v>
      </c>
    </row>
    <row r="15" spans="1:7" x14ac:dyDescent="0.3">
      <c r="A15" s="1"/>
      <c r="B15" s="5" t="s">
        <v>182</v>
      </c>
      <c r="C15" s="5"/>
      <c r="D15" s="5" t="s">
        <v>33</v>
      </c>
      <c r="E15" s="5" t="s">
        <v>34</v>
      </c>
      <c r="F15" s="6" t="s">
        <v>15</v>
      </c>
      <c r="G15" s="5" t="s">
        <v>178</v>
      </c>
    </row>
    <row r="16" spans="1:7" x14ac:dyDescent="0.3">
      <c r="A16" s="1"/>
      <c r="B16" s="5" t="s">
        <v>183</v>
      </c>
      <c r="C16" s="5"/>
      <c r="D16" s="5" t="s">
        <v>33</v>
      </c>
      <c r="E16" s="5" t="s">
        <v>53</v>
      </c>
      <c r="F16" s="6" t="s">
        <v>15</v>
      </c>
      <c r="G16" s="5" t="s">
        <v>25</v>
      </c>
    </row>
    <row r="17" spans="1:7" x14ac:dyDescent="0.3">
      <c r="A17" s="1"/>
      <c r="B17" s="5" t="s">
        <v>184</v>
      </c>
      <c r="C17" s="5"/>
      <c r="D17" s="5" t="s">
        <v>27</v>
      </c>
      <c r="E17" s="5" t="s">
        <v>28</v>
      </c>
      <c r="F17" s="6" t="s">
        <v>15</v>
      </c>
      <c r="G17" s="5" t="s">
        <v>20</v>
      </c>
    </row>
    <row r="18" spans="1:7" x14ac:dyDescent="0.3">
      <c r="A18" s="1"/>
      <c r="B18" s="5" t="s">
        <v>185</v>
      </c>
      <c r="C18" s="5"/>
      <c r="D18" s="5" t="s">
        <v>41</v>
      </c>
      <c r="E18" s="5" t="s">
        <v>45</v>
      </c>
      <c r="F18" s="6" t="s">
        <v>15</v>
      </c>
      <c r="G18" s="5" t="s">
        <v>35</v>
      </c>
    </row>
    <row r="19" spans="1:7" ht="26.4" x14ac:dyDescent="0.3">
      <c r="A19" s="1"/>
      <c r="B19" s="5" t="s">
        <v>186</v>
      </c>
      <c r="C19" s="5"/>
      <c r="D19" s="5" t="s">
        <v>60</v>
      </c>
      <c r="E19" s="5" t="s">
        <v>61</v>
      </c>
      <c r="F19" s="6" t="s">
        <v>15</v>
      </c>
      <c r="G19" s="5" t="s">
        <v>43</v>
      </c>
    </row>
    <row r="20" spans="1:7" ht="26.4" x14ac:dyDescent="0.3">
      <c r="A20" s="1"/>
      <c r="B20" s="5" t="s">
        <v>187</v>
      </c>
      <c r="C20" s="5"/>
      <c r="D20" s="5" t="s">
        <v>66</v>
      </c>
      <c r="E20" s="5" t="s">
        <v>66</v>
      </c>
      <c r="F20" s="8" t="s">
        <v>65</v>
      </c>
      <c r="G20" s="5" t="s">
        <v>188</v>
      </c>
    </row>
    <row r="21" spans="1:7" ht="26.4" x14ac:dyDescent="0.3">
      <c r="A21" s="1"/>
      <c r="B21" s="9" t="s">
        <v>167</v>
      </c>
      <c r="C21" s="9" t="s">
        <v>63</v>
      </c>
      <c r="D21" s="9" t="s">
        <v>66</v>
      </c>
      <c r="E21" s="9" t="s">
        <v>66</v>
      </c>
      <c r="F21" s="9" t="s">
        <v>176</v>
      </c>
      <c r="G21" s="9"/>
    </row>
    <row r="22" spans="1:7" ht="15" customHeight="1" x14ac:dyDescent="0.3">
      <c r="A22" s="1" t="s">
        <v>388</v>
      </c>
      <c r="B22" s="7" t="s">
        <v>189</v>
      </c>
      <c r="C22" s="7"/>
      <c r="D22" s="7" t="s">
        <v>72</v>
      </c>
      <c r="E22" s="7" t="s">
        <v>73</v>
      </c>
      <c r="F22" s="5" t="s">
        <v>71</v>
      </c>
      <c r="G22" s="7" t="s">
        <v>62</v>
      </c>
    </row>
    <row r="23" spans="1:7" x14ac:dyDescent="0.3">
      <c r="A23" s="1"/>
      <c r="B23" s="7" t="s">
        <v>190</v>
      </c>
      <c r="C23" s="7"/>
      <c r="D23" s="7" t="s">
        <v>72</v>
      </c>
      <c r="E23" s="7" t="s">
        <v>73</v>
      </c>
      <c r="F23" s="5" t="s">
        <v>71</v>
      </c>
      <c r="G23" s="7" t="s">
        <v>62</v>
      </c>
    </row>
    <row r="24" spans="1:7" x14ac:dyDescent="0.3">
      <c r="A24" s="1"/>
      <c r="B24" s="7" t="s">
        <v>191</v>
      </c>
      <c r="C24" s="7"/>
      <c r="D24" s="7" t="s">
        <v>72</v>
      </c>
      <c r="E24" s="7" t="s">
        <v>73</v>
      </c>
      <c r="F24" s="5" t="s">
        <v>71</v>
      </c>
      <c r="G24" s="7" t="s">
        <v>62</v>
      </c>
    </row>
    <row r="25" spans="1:7" x14ac:dyDescent="0.3">
      <c r="A25" s="1"/>
      <c r="B25" s="7" t="s">
        <v>192</v>
      </c>
      <c r="C25" s="7"/>
      <c r="D25" s="7" t="s">
        <v>81</v>
      </c>
      <c r="E25" s="7" t="s">
        <v>82</v>
      </c>
      <c r="F25" s="5" t="s">
        <v>71</v>
      </c>
      <c r="G25" s="7" t="s">
        <v>193</v>
      </c>
    </row>
    <row r="26" spans="1:7" ht="26.4" x14ac:dyDescent="0.3">
      <c r="A26" s="1"/>
      <c r="B26" s="9" t="s">
        <v>167</v>
      </c>
      <c r="C26" s="9" t="s">
        <v>194</v>
      </c>
      <c r="D26" s="9" t="s">
        <v>82</v>
      </c>
      <c r="E26" s="9" t="s">
        <v>82</v>
      </c>
      <c r="F26" s="9" t="s">
        <v>195</v>
      </c>
      <c r="G26" s="9"/>
    </row>
    <row r="27" spans="1:7" ht="15" customHeight="1" x14ac:dyDescent="0.3">
      <c r="A27" s="1" t="s">
        <v>389</v>
      </c>
      <c r="B27" s="5" t="s">
        <v>196</v>
      </c>
      <c r="C27" s="5"/>
      <c r="D27" s="5" t="s">
        <v>85</v>
      </c>
      <c r="E27" s="5" t="s">
        <v>86</v>
      </c>
      <c r="F27" s="5" t="s">
        <v>71</v>
      </c>
      <c r="G27" s="5" t="s">
        <v>79</v>
      </c>
    </row>
    <row r="28" spans="1:7" x14ac:dyDescent="0.3">
      <c r="A28" s="1"/>
      <c r="B28" s="5" t="s">
        <v>197</v>
      </c>
      <c r="C28" s="5"/>
      <c r="D28" s="5" t="s">
        <v>85</v>
      </c>
      <c r="E28" s="5" t="s">
        <v>86</v>
      </c>
      <c r="F28" s="5" t="s">
        <v>71</v>
      </c>
      <c r="G28" s="5" t="s">
        <v>79</v>
      </c>
    </row>
    <row r="29" spans="1:7" ht="26.4" x14ac:dyDescent="0.3">
      <c r="A29" s="1"/>
      <c r="B29" s="5" t="s">
        <v>198</v>
      </c>
      <c r="C29" s="5"/>
      <c r="D29" s="5" t="s">
        <v>92</v>
      </c>
      <c r="E29" s="5" t="s">
        <v>93</v>
      </c>
      <c r="F29" s="5" t="s">
        <v>71</v>
      </c>
      <c r="G29" s="5" t="s">
        <v>199</v>
      </c>
    </row>
    <row r="30" spans="1:7" x14ac:dyDescent="0.3">
      <c r="A30" s="1"/>
      <c r="B30" s="5" t="s">
        <v>200</v>
      </c>
      <c r="C30" s="5"/>
      <c r="D30" s="5" t="s">
        <v>92</v>
      </c>
      <c r="E30" s="5" t="s">
        <v>93</v>
      </c>
      <c r="F30" s="5" t="s">
        <v>71</v>
      </c>
      <c r="G30" s="5" t="s">
        <v>199</v>
      </c>
    </row>
    <row r="31" spans="1:7" x14ac:dyDescent="0.3">
      <c r="A31" s="1"/>
      <c r="B31" s="5" t="s">
        <v>201</v>
      </c>
      <c r="C31" s="5"/>
      <c r="D31" s="5" t="s">
        <v>92</v>
      </c>
      <c r="E31" s="5" t="s">
        <v>93</v>
      </c>
      <c r="F31" s="5" t="s">
        <v>71</v>
      </c>
      <c r="G31" s="5" t="s">
        <v>199</v>
      </c>
    </row>
    <row r="32" spans="1:7" ht="26.4" x14ac:dyDescent="0.3">
      <c r="A32" s="1"/>
      <c r="B32" s="5" t="s">
        <v>202</v>
      </c>
      <c r="C32" s="5"/>
      <c r="D32" s="5" t="s">
        <v>101</v>
      </c>
      <c r="E32" s="5" t="s">
        <v>101</v>
      </c>
      <c r="F32" s="5" t="s">
        <v>71</v>
      </c>
      <c r="G32" s="5" t="s">
        <v>203</v>
      </c>
    </row>
    <row r="33" spans="1:7" ht="26.4" x14ac:dyDescent="0.3">
      <c r="A33" s="1"/>
      <c r="B33" s="9" t="s">
        <v>167</v>
      </c>
      <c r="C33" s="9" t="s">
        <v>204</v>
      </c>
      <c r="D33" s="9" t="s">
        <v>101</v>
      </c>
      <c r="E33" s="9" t="s">
        <v>101</v>
      </c>
      <c r="F33" s="9" t="s">
        <v>195</v>
      </c>
      <c r="G33" s="9"/>
    </row>
    <row r="34" spans="1:7" ht="23.85" customHeight="1" x14ac:dyDescent="0.3">
      <c r="A34" s="1" t="s">
        <v>390</v>
      </c>
      <c r="B34" s="7" t="s">
        <v>205</v>
      </c>
      <c r="C34" s="7"/>
      <c r="D34" s="7" t="s">
        <v>104</v>
      </c>
      <c r="E34" s="7" t="s">
        <v>105</v>
      </c>
      <c r="F34" s="5" t="s">
        <v>71</v>
      </c>
      <c r="G34" s="7" t="s">
        <v>99</v>
      </c>
    </row>
    <row r="35" spans="1:7" x14ac:dyDescent="0.3">
      <c r="A35" s="1"/>
      <c r="B35" s="7" t="s">
        <v>206</v>
      </c>
      <c r="C35" s="7"/>
      <c r="D35" s="7" t="s">
        <v>104</v>
      </c>
      <c r="E35" s="7" t="s">
        <v>108</v>
      </c>
      <c r="F35" s="5" t="s">
        <v>71</v>
      </c>
      <c r="G35" s="7" t="s">
        <v>99</v>
      </c>
    </row>
    <row r="36" spans="1:7" ht="26.4" x14ac:dyDescent="0.3">
      <c r="A36" s="1"/>
      <c r="B36" s="7" t="s">
        <v>207</v>
      </c>
      <c r="C36" s="7"/>
      <c r="D36" s="7" t="s">
        <v>111</v>
      </c>
      <c r="E36" s="7" t="s">
        <v>105</v>
      </c>
      <c r="F36" s="5" t="s">
        <v>71</v>
      </c>
      <c r="G36" s="7" t="s">
        <v>106</v>
      </c>
    </row>
    <row r="37" spans="1:7" x14ac:dyDescent="0.3">
      <c r="A37" s="1"/>
      <c r="B37" s="7" t="s">
        <v>208</v>
      </c>
      <c r="C37" s="7"/>
      <c r="D37" s="7" t="s">
        <v>104</v>
      </c>
      <c r="E37" s="7" t="s">
        <v>114</v>
      </c>
      <c r="F37" s="5" t="s">
        <v>71</v>
      </c>
      <c r="G37" s="7" t="s">
        <v>99</v>
      </c>
    </row>
    <row r="38" spans="1:7" x14ac:dyDescent="0.3">
      <c r="A38" s="1"/>
      <c r="B38" s="7" t="s">
        <v>209</v>
      </c>
      <c r="C38" s="7"/>
      <c r="D38" s="7" t="s">
        <v>111</v>
      </c>
      <c r="E38" s="7" t="s">
        <v>117</v>
      </c>
      <c r="F38" s="5" t="s">
        <v>71</v>
      </c>
      <c r="G38" s="7" t="s">
        <v>106</v>
      </c>
    </row>
    <row r="39" spans="1:7" x14ac:dyDescent="0.3">
      <c r="A39" s="1"/>
      <c r="B39" s="7" t="s">
        <v>210</v>
      </c>
      <c r="C39" s="7"/>
      <c r="D39" s="7" t="s">
        <v>120</v>
      </c>
      <c r="E39" s="7" t="s">
        <v>120</v>
      </c>
      <c r="F39" s="5" t="s">
        <v>71</v>
      </c>
      <c r="G39" s="7" t="s">
        <v>211</v>
      </c>
    </row>
    <row r="40" spans="1:7" ht="26.4" x14ac:dyDescent="0.3">
      <c r="A40" s="1"/>
      <c r="B40" s="9" t="s">
        <v>167</v>
      </c>
      <c r="C40" s="9" t="s">
        <v>119</v>
      </c>
      <c r="D40" s="9" t="s">
        <v>120</v>
      </c>
      <c r="E40" s="9" t="s">
        <v>120</v>
      </c>
      <c r="F40" s="9" t="s">
        <v>195</v>
      </c>
      <c r="G40" s="9"/>
    </row>
    <row r="41" spans="1:7" ht="15" customHeight="1" x14ac:dyDescent="0.3">
      <c r="A41" s="1" t="s">
        <v>391</v>
      </c>
      <c r="B41" s="5" t="s">
        <v>212</v>
      </c>
      <c r="C41" s="5"/>
      <c r="D41" s="5" t="s">
        <v>124</v>
      </c>
      <c r="E41" s="5" t="s">
        <v>125</v>
      </c>
      <c r="F41" s="5" t="s">
        <v>71</v>
      </c>
      <c r="G41" s="5" t="s">
        <v>118</v>
      </c>
    </row>
    <row r="42" spans="1:7" ht="26.4" x14ac:dyDescent="0.3">
      <c r="A42" s="1"/>
      <c r="B42" s="5" t="s">
        <v>213</v>
      </c>
      <c r="C42" s="5"/>
      <c r="D42" s="5" t="s">
        <v>128</v>
      </c>
      <c r="E42" s="5" t="s">
        <v>129</v>
      </c>
      <c r="F42" s="5" t="s">
        <v>71</v>
      </c>
      <c r="G42" s="5" t="s">
        <v>121</v>
      </c>
    </row>
    <row r="43" spans="1:7" x14ac:dyDescent="0.3">
      <c r="A43" s="1"/>
      <c r="B43" s="5" t="s">
        <v>214</v>
      </c>
      <c r="C43" s="5"/>
      <c r="D43" s="5" t="s">
        <v>132</v>
      </c>
      <c r="E43" s="5" t="s">
        <v>133</v>
      </c>
      <c r="F43" s="5" t="s">
        <v>71</v>
      </c>
      <c r="G43" s="5" t="s">
        <v>126</v>
      </c>
    </row>
    <row r="44" spans="1:7" x14ac:dyDescent="0.3">
      <c r="A44" s="1"/>
      <c r="B44" s="5" t="s">
        <v>215</v>
      </c>
      <c r="C44" s="5"/>
      <c r="D44" s="5" t="s">
        <v>136</v>
      </c>
      <c r="E44" s="5" t="s">
        <v>136</v>
      </c>
      <c r="F44" s="5" t="s">
        <v>71</v>
      </c>
      <c r="G44" s="5" t="s">
        <v>130</v>
      </c>
    </row>
    <row r="45" spans="1:7" ht="26.4" x14ac:dyDescent="0.3">
      <c r="A45" s="1"/>
      <c r="B45" s="9" t="s">
        <v>167</v>
      </c>
      <c r="C45" s="9" t="s">
        <v>216</v>
      </c>
      <c r="D45" s="9" t="s">
        <v>136</v>
      </c>
      <c r="E45" s="9" t="s">
        <v>136</v>
      </c>
      <c r="F45" s="9" t="s">
        <v>195</v>
      </c>
      <c r="G45" s="9"/>
    </row>
    <row r="46" spans="1:7" ht="15" customHeight="1" x14ac:dyDescent="0.3">
      <c r="A46" s="1" t="s">
        <v>392</v>
      </c>
      <c r="B46" s="7" t="s">
        <v>217</v>
      </c>
      <c r="C46" s="7"/>
      <c r="D46" s="7" t="s">
        <v>139</v>
      </c>
      <c r="E46" s="7" t="s">
        <v>140</v>
      </c>
      <c r="F46" s="5" t="s">
        <v>71</v>
      </c>
      <c r="G46" s="7" t="s">
        <v>134</v>
      </c>
    </row>
    <row r="47" spans="1:7" x14ac:dyDescent="0.3">
      <c r="A47" s="1"/>
      <c r="B47" s="7" t="s">
        <v>218</v>
      </c>
      <c r="C47" s="7"/>
      <c r="D47" s="7" t="s">
        <v>139</v>
      </c>
      <c r="E47" s="7" t="s">
        <v>140</v>
      </c>
      <c r="F47" s="5" t="s">
        <v>71</v>
      </c>
      <c r="G47" s="7" t="s">
        <v>134</v>
      </c>
    </row>
    <row r="48" spans="1:7" x14ac:dyDescent="0.3">
      <c r="A48" s="1"/>
      <c r="B48" s="7" t="s">
        <v>219</v>
      </c>
      <c r="C48" s="7"/>
      <c r="D48" s="7" t="s">
        <v>146</v>
      </c>
      <c r="E48" s="7" t="s">
        <v>147</v>
      </c>
      <c r="F48" s="5" t="s">
        <v>71</v>
      </c>
      <c r="G48" s="7" t="s">
        <v>220</v>
      </c>
    </row>
    <row r="49" spans="1:7" x14ac:dyDescent="0.3">
      <c r="A49" s="1"/>
      <c r="B49" s="7" t="s">
        <v>221</v>
      </c>
      <c r="C49" s="7"/>
      <c r="D49" s="7" t="s">
        <v>151</v>
      </c>
      <c r="E49" s="7" t="s">
        <v>152</v>
      </c>
      <c r="F49" s="5" t="s">
        <v>71</v>
      </c>
      <c r="G49" s="7" t="s">
        <v>143</v>
      </c>
    </row>
    <row r="50" spans="1:7" ht="26.4" x14ac:dyDescent="0.3">
      <c r="A50" s="1"/>
      <c r="B50" s="9" t="s">
        <v>167</v>
      </c>
      <c r="C50" s="9" t="s">
        <v>222</v>
      </c>
      <c r="D50" s="9" t="s">
        <v>152</v>
      </c>
      <c r="E50" s="9" t="s">
        <v>152</v>
      </c>
      <c r="F50" s="9" t="s">
        <v>195</v>
      </c>
      <c r="G50" s="9"/>
    </row>
    <row r="51" spans="1:7" ht="15" customHeight="1" x14ac:dyDescent="0.3">
      <c r="A51" s="1" t="s">
        <v>393</v>
      </c>
      <c r="B51" s="5" t="s">
        <v>223</v>
      </c>
      <c r="C51" s="5"/>
      <c r="D51" s="5" t="s">
        <v>156</v>
      </c>
      <c r="E51" s="5" t="s">
        <v>157</v>
      </c>
      <c r="F51" s="5" t="s">
        <v>71</v>
      </c>
      <c r="G51" s="5" t="s">
        <v>148</v>
      </c>
    </row>
    <row r="52" spans="1:7" ht="26.4" x14ac:dyDescent="0.3">
      <c r="A52" s="1"/>
      <c r="B52" s="5" t="s">
        <v>224</v>
      </c>
      <c r="C52" s="5"/>
      <c r="D52" s="5" t="s">
        <v>160</v>
      </c>
      <c r="E52" s="5" t="s">
        <v>160</v>
      </c>
      <c r="F52" s="5" t="s">
        <v>71</v>
      </c>
      <c r="G52" s="5" t="s">
        <v>153</v>
      </c>
    </row>
    <row r="53" spans="1:7" x14ac:dyDescent="0.3">
      <c r="A53" s="1"/>
      <c r="B53" s="5" t="s">
        <v>225</v>
      </c>
      <c r="C53" s="5"/>
      <c r="D53" s="5" t="s">
        <v>163</v>
      </c>
      <c r="E53" s="5" t="s">
        <v>163</v>
      </c>
      <c r="F53" s="5" t="s">
        <v>71</v>
      </c>
      <c r="G53" s="5" t="s">
        <v>158</v>
      </c>
    </row>
    <row r="54" spans="1:7" ht="26.4" x14ac:dyDescent="0.3">
      <c r="A54" s="1"/>
      <c r="B54" s="9" t="s">
        <v>167</v>
      </c>
      <c r="C54" s="9" t="s">
        <v>226</v>
      </c>
      <c r="D54" s="9" t="s">
        <v>163</v>
      </c>
      <c r="E54" s="9" t="s">
        <v>163</v>
      </c>
      <c r="F54" s="9" t="s">
        <v>195</v>
      </c>
      <c r="G54" s="9"/>
    </row>
  </sheetData>
  <autoFilter ref="A4:G54" xr:uid="{00000000-0009-0000-0000-000001000000}"/>
  <mergeCells count="10">
    <mergeCell ref="A27:A33"/>
    <mergeCell ref="A34:A40"/>
    <mergeCell ref="A41:A45"/>
    <mergeCell ref="A46:A50"/>
    <mergeCell ref="A51:A54"/>
    <mergeCell ref="A1:G1"/>
    <mergeCell ref="A2:G2"/>
    <mergeCell ref="A5:A10"/>
    <mergeCell ref="A11:A21"/>
    <mergeCell ref="A22:A26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7"/>
  <sheetViews>
    <sheetView zoomScaleNormal="100" workbookViewId="0">
      <pane ySplit="4" topLeftCell="A5" activePane="bottomLeft" state="frozen"/>
      <selection pane="bottomLeft" activeCell="H10" sqref="H10"/>
    </sheetView>
  </sheetViews>
  <sheetFormatPr defaultColWidth="8.6640625" defaultRowHeight="14.4" x14ac:dyDescent="0.3"/>
  <cols>
    <col min="1" max="1" width="7" customWidth="1"/>
    <col min="2" max="2" width="44" customWidth="1"/>
    <col min="3" max="3" width="16" customWidth="1"/>
    <col min="4" max="4" width="12" customWidth="1"/>
    <col min="5" max="5" width="10" customWidth="1"/>
    <col min="6" max="6" width="11" customWidth="1"/>
    <col min="7" max="7" width="42" customWidth="1"/>
    <col min="8" max="8" width="20" customWidth="1"/>
    <col min="9" max="9" width="22" customWidth="1"/>
    <col min="11" max="11" width="10" customWidth="1"/>
    <col min="12" max="12" width="8" customWidth="1"/>
  </cols>
  <sheetData>
    <row r="1" spans="1:12" ht="21.75" customHeight="1" x14ac:dyDescent="0.3">
      <c r="A1" s="3" t="s">
        <v>227</v>
      </c>
      <c r="B1" s="3"/>
      <c r="C1" s="3"/>
      <c r="D1" s="3"/>
      <c r="E1" s="3"/>
      <c r="F1" s="3"/>
      <c r="G1" s="3"/>
      <c r="H1" s="3"/>
      <c r="I1" s="3"/>
    </row>
    <row r="2" spans="1:12" ht="15.75" customHeight="1" x14ac:dyDescent="0.3">
      <c r="A2" s="2" t="s">
        <v>228</v>
      </c>
      <c r="B2" s="2"/>
      <c r="C2" s="2"/>
      <c r="D2" s="2"/>
      <c r="E2" s="2"/>
      <c r="F2" s="2"/>
      <c r="G2" s="2"/>
      <c r="H2" s="2"/>
      <c r="I2" s="2"/>
    </row>
    <row r="4" spans="1:12" x14ac:dyDescent="0.3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  <c r="G4" s="4" t="s">
        <v>235</v>
      </c>
      <c r="H4" s="4" t="s">
        <v>4</v>
      </c>
      <c r="I4" s="4" t="s">
        <v>6</v>
      </c>
      <c r="K4" s="10" t="s">
        <v>236</v>
      </c>
    </row>
    <row r="5" spans="1:12" ht="39.6" x14ac:dyDescent="0.3">
      <c r="A5" s="5" t="s">
        <v>237</v>
      </c>
      <c r="B5" s="5" t="s">
        <v>238</v>
      </c>
      <c r="C5" s="5" t="s">
        <v>239</v>
      </c>
      <c r="D5" s="5" t="s">
        <v>14</v>
      </c>
      <c r="E5" s="5" t="s">
        <v>14</v>
      </c>
      <c r="F5" s="11">
        <f t="shared" ref="F5:F17" si="0">INDEX($L$6:$L$8,MATCH(D5,$K$6:$K$8,0))*INDEX($L$6:$L$8,MATCH(E5,$K$6:$K$8,0))</f>
        <v>9</v>
      </c>
      <c r="G5" s="5" t="s">
        <v>240</v>
      </c>
      <c r="H5" s="5" t="s">
        <v>70</v>
      </c>
      <c r="I5" s="5" t="s">
        <v>241</v>
      </c>
      <c r="K5" s="10" t="s">
        <v>242</v>
      </c>
      <c r="L5" s="10" t="s">
        <v>243</v>
      </c>
    </row>
    <row r="6" spans="1:12" ht="26.4" x14ac:dyDescent="0.3">
      <c r="A6" s="7" t="s">
        <v>244</v>
      </c>
      <c r="B6" s="7" t="s">
        <v>245</v>
      </c>
      <c r="C6" s="7" t="s">
        <v>246</v>
      </c>
      <c r="D6" s="7" t="s">
        <v>49</v>
      </c>
      <c r="E6" s="7" t="s">
        <v>14</v>
      </c>
      <c r="F6" s="12">
        <f t="shared" si="0"/>
        <v>6</v>
      </c>
      <c r="G6" s="7" t="s">
        <v>247</v>
      </c>
      <c r="H6" s="7" t="s">
        <v>76</v>
      </c>
      <c r="I6" s="7" t="s">
        <v>248</v>
      </c>
      <c r="K6" s="13" t="s">
        <v>52</v>
      </c>
      <c r="L6" s="13">
        <v>1</v>
      </c>
    </row>
    <row r="7" spans="1:12" ht="26.4" x14ac:dyDescent="0.3">
      <c r="A7" s="5" t="s">
        <v>249</v>
      </c>
      <c r="B7" s="5" t="s">
        <v>250</v>
      </c>
      <c r="C7" s="5" t="s">
        <v>251</v>
      </c>
      <c r="D7" s="5" t="s">
        <v>49</v>
      </c>
      <c r="E7" s="5" t="s">
        <v>49</v>
      </c>
      <c r="F7" s="11">
        <f t="shared" si="0"/>
        <v>4</v>
      </c>
      <c r="G7" s="5" t="s">
        <v>252</v>
      </c>
      <c r="H7" s="5" t="s">
        <v>13</v>
      </c>
      <c r="I7" s="5" t="s">
        <v>248</v>
      </c>
      <c r="K7" s="13" t="s">
        <v>49</v>
      </c>
      <c r="L7" s="13">
        <v>2</v>
      </c>
    </row>
    <row r="8" spans="1:12" ht="26.4" x14ac:dyDescent="0.3">
      <c r="A8" s="7" t="s">
        <v>253</v>
      </c>
      <c r="B8" s="7" t="s">
        <v>254</v>
      </c>
      <c r="C8" s="7" t="s">
        <v>255</v>
      </c>
      <c r="D8" s="7" t="s">
        <v>49</v>
      </c>
      <c r="E8" s="7" t="s">
        <v>14</v>
      </c>
      <c r="F8" s="12">
        <f t="shared" si="0"/>
        <v>6</v>
      </c>
      <c r="G8" s="7" t="s">
        <v>256</v>
      </c>
      <c r="H8" s="7" t="s">
        <v>96</v>
      </c>
      <c r="I8" s="7" t="s">
        <v>248</v>
      </c>
      <c r="K8" s="13" t="s">
        <v>14</v>
      </c>
      <c r="L8" s="13">
        <v>3</v>
      </c>
    </row>
    <row r="9" spans="1:12" ht="26.4" x14ac:dyDescent="0.3">
      <c r="A9" s="5" t="s">
        <v>257</v>
      </c>
      <c r="B9" s="5" t="s">
        <v>258</v>
      </c>
      <c r="C9" s="5" t="s">
        <v>259</v>
      </c>
      <c r="D9" s="5" t="s">
        <v>49</v>
      </c>
      <c r="E9" s="5" t="s">
        <v>14</v>
      </c>
      <c r="F9" s="11">
        <f t="shared" si="0"/>
        <v>6</v>
      </c>
      <c r="G9" s="5" t="s">
        <v>260</v>
      </c>
      <c r="H9" s="5" t="s">
        <v>13</v>
      </c>
      <c r="I9" s="5" t="s">
        <v>248</v>
      </c>
    </row>
    <row r="10" spans="1:12" ht="26.4" x14ac:dyDescent="0.3">
      <c r="A10" s="7" t="s">
        <v>261</v>
      </c>
      <c r="B10" s="7" t="s">
        <v>262</v>
      </c>
      <c r="C10" s="7" t="s">
        <v>263</v>
      </c>
      <c r="D10" s="7" t="s">
        <v>49</v>
      </c>
      <c r="E10" s="7" t="s">
        <v>14</v>
      </c>
      <c r="F10" s="12">
        <f t="shared" si="0"/>
        <v>6</v>
      </c>
      <c r="G10" s="7" t="s">
        <v>264</v>
      </c>
      <c r="H10" s="7" t="s">
        <v>265</v>
      </c>
      <c r="I10" s="7" t="s">
        <v>241</v>
      </c>
    </row>
    <row r="11" spans="1:12" ht="39.6" x14ac:dyDescent="0.3">
      <c r="A11" s="5" t="s">
        <v>266</v>
      </c>
      <c r="B11" s="5" t="s">
        <v>267</v>
      </c>
      <c r="C11" s="5" t="s">
        <v>268</v>
      </c>
      <c r="D11" s="5" t="s">
        <v>14</v>
      </c>
      <c r="E11" s="5" t="s">
        <v>49</v>
      </c>
      <c r="F11" s="11">
        <f t="shared" si="0"/>
        <v>6</v>
      </c>
      <c r="G11" s="5" t="s">
        <v>269</v>
      </c>
      <c r="H11" s="5" t="s">
        <v>13</v>
      </c>
      <c r="I11" s="5" t="s">
        <v>248</v>
      </c>
    </row>
    <row r="12" spans="1:12" ht="26.4" x14ac:dyDescent="0.3">
      <c r="A12" s="7" t="s">
        <v>270</v>
      </c>
      <c r="B12" s="7" t="s">
        <v>271</v>
      </c>
      <c r="C12" s="7" t="s">
        <v>272</v>
      </c>
      <c r="D12" s="7" t="s">
        <v>52</v>
      </c>
      <c r="E12" s="7" t="s">
        <v>49</v>
      </c>
      <c r="F12" s="12">
        <f t="shared" si="0"/>
        <v>2</v>
      </c>
      <c r="G12" s="7" t="s">
        <v>273</v>
      </c>
      <c r="H12" s="7" t="s">
        <v>145</v>
      </c>
      <c r="I12" s="7" t="s">
        <v>248</v>
      </c>
    </row>
    <row r="13" spans="1:12" ht="39.6" x14ac:dyDescent="0.3">
      <c r="A13" s="5" t="s">
        <v>274</v>
      </c>
      <c r="B13" s="5" t="s">
        <v>275</v>
      </c>
      <c r="C13" s="5" t="s">
        <v>276</v>
      </c>
      <c r="D13" s="5" t="s">
        <v>52</v>
      </c>
      <c r="E13" s="5" t="s">
        <v>14</v>
      </c>
      <c r="F13" s="11">
        <f t="shared" si="0"/>
        <v>3</v>
      </c>
      <c r="G13" s="5" t="s">
        <v>277</v>
      </c>
      <c r="H13" s="5" t="s">
        <v>13</v>
      </c>
      <c r="I13" s="5" t="s">
        <v>248</v>
      </c>
    </row>
    <row r="14" spans="1:12" ht="26.4" x14ac:dyDescent="0.3">
      <c r="A14" s="7" t="s">
        <v>278</v>
      </c>
      <c r="B14" s="7" t="s">
        <v>279</v>
      </c>
      <c r="C14" s="7" t="s">
        <v>280</v>
      </c>
      <c r="D14" s="7" t="s">
        <v>52</v>
      </c>
      <c r="E14" s="7" t="s">
        <v>49</v>
      </c>
      <c r="F14" s="12">
        <f t="shared" si="0"/>
        <v>2</v>
      </c>
      <c r="G14" s="7" t="s">
        <v>281</v>
      </c>
      <c r="H14" s="7" t="s">
        <v>13</v>
      </c>
      <c r="I14" s="7" t="s">
        <v>248</v>
      </c>
    </row>
    <row r="15" spans="1:12" ht="39.6" x14ac:dyDescent="0.3">
      <c r="A15" s="5" t="s">
        <v>282</v>
      </c>
      <c r="B15" s="5" t="s">
        <v>283</v>
      </c>
      <c r="C15" s="5" t="s">
        <v>239</v>
      </c>
      <c r="D15" s="5" t="s">
        <v>14</v>
      </c>
      <c r="E15" s="5" t="s">
        <v>49</v>
      </c>
      <c r="F15" s="11">
        <f t="shared" si="0"/>
        <v>6</v>
      </c>
      <c r="G15" s="5" t="s">
        <v>284</v>
      </c>
      <c r="H15" s="5" t="s">
        <v>13</v>
      </c>
      <c r="I15" s="5" t="s">
        <v>241</v>
      </c>
    </row>
    <row r="16" spans="1:12" ht="39.6" x14ac:dyDescent="0.3">
      <c r="A16" s="7" t="s">
        <v>285</v>
      </c>
      <c r="B16" s="7" t="s">
        <v>286</v>
      </c>
      <c r="C16" s="7" t="s">
        <v>287</v>
      </c>
      <c r="D16" s="7" t="s">
        <v>49</v>
      </c>
      <c r="E16" s="7" t="s">
        <v>49</v>
      </c>
      <c r="F16" s="12">
        <f t="shared" si="0"/>
        <v>4</v>
      </c>
      <c r="G16" s="7" t="s">
        <v>288</v>
      </c>
      <c r="H16" s="7" t="s">
        <v>13</v>
      </c>
      <c r="I16" s="7" t="s">
        <v>241</v>
      </c>
    </row>
    <row r="17" spans="1:9" ht="39.6" x14ac:dyDescent="0.3">
      <c r="A17" s="5" t="s">
        <v>289</v>
      </c>
      <c r="B17" s="5" t="s">
        <v>290</v>
      </c>
      <c r="C17" s="5" t="s">
        <v>268</v>
      </c>
      <c r="D17" s="5" t="s">
        <v>14</v>
      </c>
      <c r="E17" s="5" t="s">
        <v>49</v>
      </c>
      <c r="F17" s="11">
        <f t="shared" si="0"/>
        <v>6</v>
      </c>
      <c r="G17" s="5" t="s">
        <v>291</v>
      </c>
      <c r="H17" s="5" t="s">
        <v>13</v>
      </c>
      <c r="I17" s="5" t="s">
        <v>292</v>
      </c>
    </row>
  </sheetData>
  <autoFilter ref="A4:I17" xr:uid="{00000000-0009-0000-0000-000002000000}"/>
  <mergeCells count="2">
    <mergeCell ref="A1:I1"/>
    <mergeCell ref="A2:I2"/>
  </mergeCells>
  <conditionalFormatting sqref="F5:F17">
    <cfRule type="colorScale" priority="2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1">
    <dataValidation type="list" sqref="D5:E17" xr:uid="{00000000-0002-0000-0200-000000000000}">
      <formula1>$K$6:$K$8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4"/>
  <sheetViews>
    <sheetView zoomScaleNormal="100" workbookViewId="0">
      <pane ySplit="4" topLeftCell="A5" activePane="bottomLeft" state="frozen"/>
      <selection pane="bottomLeft" sqref="A1:L1"/>
    </sheetView>
  </sheetViews>
  <sheetFormatPr defaultColWidth="8.6640625" defaultRowHeight="14.4" x14ac:dyDescent="0.3"/>
  <cols>
    <col min="1" max="1" width="11" customWidth="1"/>
    <col min="2" max="2" width="34" customWidth="1"/>
    <col min="3" max="3" width="28" customWidth="1"/>
    <col min="4" max="4" width="16" customWidth="1"/>
    <col min="5" max="5" width="20" customWidth="1"/>
    <col min="6" max="7" width="12" customWidth="1"/>
    <col min="8" max="8" width="32" customWidth="1"/>
    <col min="9" max="9" width="11" customWidth="1"/>
    <col min="10" max="10" width="34" customWidth="1"/>
    <col min="11" max="11" width="18" customWidth="1"/>
    <col min="12" max="12" width="26" customWidth="1"/>
  </cols>
  <sheetData>
    <row r="1" spans="1:12" ht="21.75" customHeight="1" x14ac:dyDescent="0.3">
      <c r="A1" s="3" t="s">
        <v>293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.75" customHeight="1" x14ac:dyDescent="0.3">
      <c r="A2" s="2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6.4" x14ac:dyDescent="0.3">
      <c r="A4" s="4" t="s">
        <v>295</v>
      </c>
      <c r="B4" s="4" t="s">
        <v>296</v>
      </c>
      <c r="C4" s="4" t="s">
        <v>297</v>
      </c>
      <c r="D4" s="4" t="s">
        <v>298</v>
      </c>
      <c r="E4" s="4" t="s">
        <v>299</v>
      </c>
      <c r="F4" s="4" t="s">
        <v>300</v>
      </c>
      <c r="G4" s="4" t="s">
        <v>6</v>
      </c>
      <c r="H4" s="4" t="s">
        <v>301</v>
      </c>
      <c r="I4" s="4" t="s">
        <v>302</v>
      </c>
      <c r="J4" s="4" t="s">
        <v>303</v>
      </c>
      <c r="K4" s="4" t="s">
        <v>304</v>
      </c>
      <c r="L4" s="4" t="s">
        <v>10</v>
      </c>
    </row>
    <row r="5" spans="1:12" ht="39.6" x14ac:dyDescent="0.3">
      <c r="A5" s="5" t="s">
        <v>305</v>
      </c>
      <c r="B5" s="5" t="s">
        <v>306</v>
      </c>
      <c r="C5" s="5" t="s">
        <v>307</v>
      </c>
      <c r="D5" s="5" t="s">
        <v>308</v>
      </c>
      <c r="E5" s="5" t="s">
        <v>145</v>
      </c>
      <c r="F5" s="5" t="s">
        <v>72</v>
      </c>
      <c r="G5" s="6" t="s">
        <v>15</v>
      </c>
      <c r="H5" s="5" t="s">
        <v>309</v>
      </c>
      <c r="I5" s="5" t="s">
        <v>14</v>
      </c>
      <c r="J5" s="5" t="s">
        <v>310</v>
      </c>
      <c r="K5" s="5" t="s">
        <v>70</v>
      </c>
      <c r="L5" s="5" t="s">
        <v>311</v>
      </c>
    </row>
    <row r="6" spans="1:12" ht="39.6" x14ac:dyDescent="0.3">
      <c r="A6" s="7" t="s">
        <v>312</v>
      </c>
      <c r="B6" s="7" t="s">
        <v>313</v>
      </c>
      <c r="C6" s="7" t="s">
        <v>314</v>
      </c>
      <c r="D6" s="7" t="s">
        <v>315</v>
      </c>
      <c r="E6" s="7" t="s">
        <v>145</v>
      </c>
      <c r="F6" s="7" t="s">
        <v>73</v>
      </c>
      <c r="G6" s="14" t="s">
        <v>316</v>
      </c>
      <c r="H6" s="7" t="s">
        <v>317</v>
      </c>
      <c r="I6" s="7" t="s">
        <v>318</v>
      </c>
      <c r="J6" s="7" t="s">
        <v>319</v>
      </c>
      <c r="K6" s="7" t="s">
        <v>70</v>
      </c>
      <c r="L6" s="7" t="s">
        <v>320</v>
      </c>
    </row>
    <row r="7" spans="1:12" ht="26.4" x14ac:dyDescent="0.3">
      <c r="A7" s="5" t="s">
        <v>321</v>
      </c>
      <c r="B7" s="5" t="s">
        <v>322</v>
      </c>
      <c r="C7" s="5" t="s">
        <v>323</v>
      </c>
      <c r="D7" s="5" t="s">
        <v>324</v>
      </c>
      <c r="E7" s="5" t="s">
        <v>265</v>
      </c>
      <c r="F7" s="5" t="s">
        <v>17</v>
      </c>
      <c r="G7" s="6" t="s">
        <v>15</v>
      </c>
      <c r="H7" s="5" t="s">
        <v>325</v>
      </c>
      <c r="I7" s="5" t="s">
        <v>318</v>
      </c>
      <c r="J7" s="5" t="s">
        <v>310</v>
      </c>
      <c r="K7" s="5" t="s">
        <v>13</v>
      </c>
      <c r="L7" s="5" t="s">
        <v>326</v>
      </c>
    </row>
    <row r="8" spans="1:12" ht="39.6" x14ac:dyDescent="0.3">
      <c r="A8" s="7" t="s">
        <v>327</v>
      </c>
      <c r="B8" s="7" t="s">
        <v>328</v>
      </c>
      <c r="C8" s="7" t="s">
        <v>329</v>
      </c>
      <c r="D8" s="7" t="s">
        <v>330</v>
      </c>
      <c r="E8" s="7" t="s">
        <v>331</v>
      </c>
      <c r="F8" s="7" t="s">
        <v>93</v>
      </c>
      <c r="G8" s="8" t="s">
        <v>65</v>
      </c>
      <c r="H8" s="7" t="s">
        <v>332</v>
      </c>
      <c r="I8" s="7" t="s">
        <v>14</v>
      </c>
      <c r="J8" s="7" t="s">
        <v>333</v>
      </c>
      <c r="K8" s="7" t="s">
        <v>13</v>
      </c>
      <c r="L8" s="7"/>
    </row>
    <row r="9" spans="1:12" ht="39.6" x14ac:dyDescent="0.3">
      <c r="A9" s="5" t="s">
        <v>334</v>
      </c>
      <c r="B9" s="5" t="s">
        <v>335</v>
      </c>
      <c r="C9" s="5" t="s">
        <v>336</v>
      </c>
      <c r="D9" s="5" t="s">
        <v>287</v>
      </c>
      <c r="E9" s="5" t="s">
        <v>337</v>
      </c>
      <c r="F9" s="5" t="s">
        <v>124</v>
      </c>
      <c r="G9" s="5" t="s">
        <v>71</v>
      </c>
      <c r="H9" s="5" t="s">
        <v>338</v>
      </c>
      <c r="I9" s="5" t="s">
        <v>49</v>
      </c>
      <c r="J9" s="5" t="s">
        <v>339</v>
      </c>
      <c r="K9" s="5" t="s">
        <v>13</v>
      </c>
      <c r="L9" s="5"/>
    </row>
    <row r="10" spans="1:12" ht="26.4" x14ac:dyDescent="0.3">
      <c r="A10" s="7" t="s">
        <v>340</v>
      </c>
      <c r="B10" s="7" t="s">
        <v>341</v>
      </c>
      <c r="C10" s="7" t="s">
        <v>342</v>
      </c>
      <c r="D10" s="7" t="s">
        <v>343</v>
      </c>
      <c r="E10" s="7" t="s">
        <v>344</v>
      </c>
      <c r="F10" s="7" t="s">
        <v>104</v>
      </c>
      <c r="G10" s="7" t="s">
        <v>71</v>
      </c>
      <c r="H10" s="7" t="s">
        <v>345</v>
      </c>
      <c r="I10" s="7" t="s">
        <v>49</v>
      </c>
      <c r="J10" s="7" t="s">
        <v>346</v>
      </c>
      <c r="K10" s="7" t="s">
        <v>145</v>
      </c>
      <c r="L10" s="7"/>
    </row>
    <row r="11" spans="1:12" ht="39.6" x14ac:dyDescent="0.3">
      <c r="A11" s="5" t="s">
        <v>347</v>
      </c>
      <c r="B11" s="5" t="s">
        <v>348</v>
      </c>
      <c r="C11" s="5" t="s">
        <v>349</v>
      </c>
      <c r="D11" s="5" t="s">
        <v>315</v>
      </c>
      <c r="E11" s="5" t="s">
        <v>145</v>
      </c>
      <c r="F11" s="5" t="s">
        <v>146</v>
      </c>
      <c r="G11" s="5" t="s">
        <v>71</v>
      </c>
      <c r="H11" s="5" t="s">
        <v>350</v>
      </c>
      <c r="I11" s="5" t="s">
        <v>14</v>
      </c>
      <c r="J11" s="5" t="s">
        <v>351</v>
      </c>
      <c r="K11" s="5" t="s">
        <v>145</v>
      </c>
      <c r="L11" s="5"/>
    </row>
    <row r="12" spans="1:12" ht="39.6" x14ac:dyDescent="0.3">
      <c r="A12" s="7" t="s">
        <v>352</v>
      </c>
      <c r="B12" s="7" t="s">
        <v>353</v>
      </c>
      <c r="C12" s="7" t="s">
        <v>354</v>
      </c>
      <c r="D12" s="7" t="s">
        <v>355</v>
      </c>
      <c r="E12" s="7" t="s">
        <v>356</v>
      </c>
      <c r="F12" s="7" t="s">
        <v>156</v>
      </c>
      <c r="G12" s="7" t="s">
        <v>71</v>
      </c>
      <c r="H12" s="7" t="s">
        <v>357</v>
      </c>
      <c r="I12" s="7" t="s">
        <v>14</v>
      </c>
      <c r="J12" s="7" t="s">
        <v>358</v>
      </c>
      <c r="K12" s="7" t="s">
        <v>13</v>
      </c>
      <c r="L12" s="7"/>
    </row>
    <row r="13" spans="1:12" ht="39.6" x14ac:dyDescent="0.3">
      <c r="A13" s="5" t="s">
        <v>359</v>
      </c>
      <c r="B13" s="5" t="s">
        <v>360</v>
      </c>
      <c r="C13" s="5" t="s">
        <v>361</v>
      </c>
      <c r="D13" s="5" t="s">
        <v>287</v>
      </c>
      <c r="E13" s="5" t="s">
        <v>362</v>
      </c>
      <c r="F13" s="5" t="s">
        <v>73</v>
      </c>
      <c r="G13" s="14" t="s">
        <v>316</v>
      </c>
      <c r="H13" s="5" t="s">
        <v>363</v>
      </c>
      <c r="I13" s="5" t="s">
        <v>49</v>
      </c>
      <c r="J13" s="5" t="s">
        <v>364</v>
      </c>
      <c r="K13" s="5" t="s">
        <v>13</v>
      </c>
      <c r="L13" s="5" t="s">
        <v>365</v>
      </c>
    </row>
    <row r="14" spans="1:12" ht="39.6" x14ac:dyDescent="0.3">
      <c r="A14" s="7" t="s">
        <v>366</v>
      </c>
      <c r="B14" s="7" t="s">
        <v>367</v>
      </c>
      <c r="C14" s="7" t="s">
        <v>368</v>
      </c>
      <c r="D14" s="7" t="s">
        <v>369</v>
      </c>
      <c r="E14" s="7" t="s">
        <v>370</v>
      </c>
      <c r="F14" s="7" t="s">
        <v>66</v>
      </c>
      <c r="G14" s="8" t="s">
        <v>65</v>
      </c>
      <c r="H14" s="7" t="s">
        <v>371</v>
      </c>
      <c r="I14" s="7" t="s">
        <v>318</v>
      </c>
      <c r="J14" s="7" t="s">
        <v>372</v>
      </c>
      <c r="K14" s="7" t="s">
        <v>13</v>
      </c>
      <c r="L14" s="7" t="s">
        <v>373</v>
      </c>
    </row>
  </sheetData>
  <autoFilter ref="A4:L14" xr:uid="{00000000-0009-0000-0000-000003000000}"/>
  <mergeCells count="2">
    <mergeCell ref="A1:L1"/>
    <mergeCell ref="A2:L2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Tracker</vt:lpstr>
      <vt:lpstr>Updated Timeline</vt:lpstr>
      <vt:lpstr>Updated Risk Register</vt:lpstr>
      <vt:lpstr>Updated Dependency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2026-09-05T21:39:57Z</dcterms:created>
  <dcterms:modified xsi:type="dcterms:W3CDTF">2026-09-06T13:57:31Z</dcterms:modified>
  <dc:language>en-US</dc:language>
</cp:coreProperties>
</file>