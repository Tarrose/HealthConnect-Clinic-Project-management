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TROS004\Downloads\"/>
    </mc:Choice>
  </mc:AlternateContent>
  <xr:revisionPtr revIDLastSave="0" documentId="13_ncr:1_{CAA19A22-8C9F-4A5C-9EBA-C04A88807CF3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Budget Summary" sheetId="1" r:id="rId1"/>
    <sheet name="Budget by Phase" sheetId="2" r:id="rId2"/>
    <sheet name="Contingency Log" sheetId="3" r:id="rId3"/>
    <sheet name="Actual vs Plann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4" l="1"/>
  <c r="D12" i="4"/>
  <c r="D11" i="4"/>
  <c r="D10" i="4"/>
  <c r="D9" i="4"/>
  <c r="D8" i="4"/>
  <c r="D7" i="4"/>
  <c r="D6" i="4"/>
  <c r="D5" i="4"/>
  <c r="C14" i="2"/>
  <c r="D13" i="2"/>
  <c r="D12" i="2"/>
  <c r="D11" i="2"/>
  <c r="D10" i="2"/>
  <c r="D9" i="2"/>
  <c r="D8" i="2"/>
  <c r="D7" i="2"/>
  <c r="D6" i="2"/>
  <c r="D5" i="2"/>
  <c r="B16" i="1"/>
  <c r="B18" i="1" s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<sst xmlns="http://schemas.openxmlformats.org/spreadsheetml/2006/main" count="97" uniqueCount="76">
  <si>
    <t>All figures in ZAR (R). Cost baseline for the 20-week active schedule (Charter ceiling: R650,000)</t>
  </si>
  <si>
    <t>Category</t>
  </si>
  <si>
    <t>Budgeted Amount (R)</t>
  </si>
  <si>
    <t>% of Base Budget</t>
  </si>
  <si>
    <t>Notes</t>
  </si>
  <si>
    <t>Labour — Data Engineer</t>
  </si>
  <si>
    <t>≈50% time, Weeks 6–18</t>
  </si>
  <si>
    <t>Labour — Data Scientist</t>
  </si>
  <si>
    <t>≈75% time, Weeks 6–20, tapering to ≈50% Weeks 21–24</t>
  </si>
  <si>
    <t>Labour — Machine Learning Engineer</t>
  </si>
  <si>
    <t>≈50% time, Weeks 7–18, returning Weeks 21–23</t>
  </si>
  <si>
    <t>Labour — Generative AI Developer</t>
  </si>
  <si>
    <t>Labour — IT Lead</t>
  </si>
  <si>
    <t>≈15% time Weeks 6–20, rising to ≈50% Weeks 21–23</t>
  </si>
  <si>
    <t>Labour — Project Manager</t>
  </si>
  <si>
    <t>Full-time equivalent across all 24 weeks (PM overhead)</t>
  </si>
  <si>
    <t>Compliance Officer (as-needed)</t>
  </si>
  <si>
    <t>Phase-gate reviews, including production readiness</t>
  </si>
  <si>
    <t>Clinic Administrative &amp; Clinical Staff (pilot)</t>
  </si>
  <si>
    <t>Light involvement, Weeks 18–20</t>
  </si>
  <si>
    <t>Third-party LLM/API usage &amp; tooling licences</t>
  </si>
  <si>
    <t>Assistant build and testing, Weeks 7–23</t>
  </si>
  <si>
    <t>Cloud/hosting for production deployment</t>
  </si>
  <si>
    <t>Weeks 21–23</t>
  </si>
  <si>
    <t>Training &amp; handover materials</t>
  </si>
  <si>
    <t>Internal IT/Data team handover, Weeks 23–24</t>
  </si>
  <si>
    <t>Base Budget Subtotal</t>
  </si>
  <si>
    <t>Contingency Reserve (10%)</t>
  </si>
  <si>
    <t>Managed per the Charter's authority matrix (draws over R10,000 require Sponsor approval)</t>
  </si>
  <si>
    <t>TOTAL PROJECT BUDGET</t>
  </si>
  <si>
    <t>Matches the Charter's R650,000 ceiling</t>
  </si>
  <si>
    <t>Planned spend across all 8 phases (Initiating → Planning → Executing → Closing) plus continuous PM overhead. Base budget unchanged at R585,000.</t>
  </si>
  <si>
    <t>Phase</t>
  </si>
  <si>
    <t>Weeks</t>
  </si>
  <si>
    <t>Planned Cost (R)</t>
  </si>
  <si>
    <t>Cumulative Planned Cost (R)</t>
  </si>
  <si>
    <t>Phase 1 — Project Initiation</t>
  </si>
  <si>
    <t>1–2</t>
  </si>
  <si>
    <t>Phase 2 — Planning</t>
  </si>
  <si>
    <t>3–4</t>
  </si>
  <si>
    <t>Phase 3 — Analysis &amp; Data Preparation</t>
  </si>
  <si>
    <t>5–6</t>
  </si>
  <si>
    <t>Phase 4 — Solution Design</t>
  </si>
  <si>
    <t>7–8</t>
  </si>
  <si>
    <t>Phase 5 — Model &amp; Assistant Development</t>
  </si>
  <si>
    <t>9–19</t>
  </si>
  <si>
    <t>Phase 6 — Pilot Campaign</t>
  </si>
  <si>
    <t>20–21</t>
  </si>
  <si>
    <t>Phase 7 — Testing, Deployment &amp; Monitoring</t>
  </si>
  <si>
    <t>22–23</t>
  </si>
  <si>
    <t>Phase 8 — Operational Handover &amp; Closure</t>
  </si>
  <si>
    <t>24</t>
  </si>
  <si>
    <t>Project Management overhead (continuous)</t>
  </si>
  <si>
    <t>1–24</t>
  </si>
  <si>
    <t>TOTAL</t>
  </si>
  <si>
    <t>Contingency reserve: R65,000 (10% of base budget). Draws over R10,000 require Sponsor approval per the Charter.</t>
  </si>
  <si>
    <t>Date</t>
  </si>
  <si>
    <t>Description</t>
  </si>
  <si>
    <t>Amount (R)</t>
  </si>
  <si>
    <t>Approved By</t>
  </si>
  <si>
    <t>Remaining Contingency (R)</t>
  </si>
  <si>
    <t>Authority Level</t>
  </si>
  <si>
    <t>—</t>
  </si>
  <si>
    <t>No draws to date (Week 5 checkpoint)</t>
  </si>
  <si>
    <t>Full contingency available</t>
  </si>
  <si>
    <t>To be updated as costs are incurred; currently pre-spend beyond internal PM time</t>
  </si>
  <si>
    <t>Actual Cost to Date (R)</t>
  </si>
  <si>
    <t>Variance (R)</t>
  </si>
  <si>
    <t>Variance Commentary</t>
  </si>
  <si>
    <t>Complete; within budget (internal PM time only)</t>
  </si>
  <si>
    <t>Complete; within budget (internal PM time only, no external spend)</t>
  </si>
  <si>
    <t>Not yet started</t>
  </si>
  <si>
    <t>HealthConnect Project : Budget Summary</t>
  </si>
  <si>
    <t>HealthConnect Project - Actual vs Planned (Week 5 / Planning-Stage Checkpoint)</t>
  </si>
  <si>
    <t>HealthConnect Project - Budget by Phase (Cost Baseline)</t>
  </si>
  <si>
    <t>HealthConnect Project - Contingency Draw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</si>
</sst>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D9D9D9"/>
      </patternFill>
    </fill>
    <fill>
      <patternFill patternType="solid">
        <fgColor rgb="FFBF8F00"/>
        <bgColor rgb="FF808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4" fontId="4" fillId="3" borderId="1" xfId="0" applyNumberFormat="1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4" fontId="5" fillId="4" borderId="1" xfId="0" applyNumberFormat="1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4" fontId="6" fillId="5" borderId="1" xfId="0" applyNumberFormat="1" applyFont="1" applyFill="1" applyBorder="1" applyAlignment="1">
      <alignment horizontal="left" vertical="top" wrapText="1"/>
    </xf>
    <xf numFmtId="0" fontId="6" fillId="5" borderId="0" xfId="0" applyFont="1" applyFill="1"/>
    <xf numFmtId="0" fontId="0" fillId="5" borderId="0" xfId="0" applyFill="1"/>
    <xf numFmtId="4" fontId="6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Cumulative Planned Cost (Cost Baseline / S-Curve)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'Budget by Phase'!$D$4</c:f>
              <c:strCache>
                <c:ptCount val="1"/>
                <c:pt idx="0">
                  <c:v>Cumulative Planned Cost (R)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by Phase'!$A$5:$A$13</c:f>
              <c:strCache>
                <c:ptCount val="9"/>
                <c:pt idx="0">
                  <c:v>Phase 1 — Project Initiation</c:v>
                </c:pt>
                <c:pt idx="1">
                  <c:v>Phase 2 — Planning</c:v>
                </c:pt>
                <c:pt idx="2">
                  <c:v>Phase 3 — Analysis &amp; Data Preparation</c:v>
                </c:pt>
                <c:pt idx="3">
                  <c:v>Phase 4 — Solution Design</c:v>
                </c:pt>
                <c:pt idx="4">
                  <c:v>Phase 5 — Model &amp; Assistant Development</c:v>
                </c:pt>
                <c:pt idx="5">
                  <c:v>Phase 6 — Pilot Campaign</c:v>
                </c:pt>
                <c:pt idx="6">
                  <c:v>Phase 7 — Testing, Deployment &amp; Monitoring</c:v>
                </c:pt>
                <c:pt idx="7">
                  <c:v>Phase 8 — Operational Handover &amp; Closure</c:v>
                </c:pt>
                <c:pt idx="8">
                  <c:v>Project Management overhead (continuous)</c:v>
                </c:pt>
              </c:strCache>
            </c:strRef>
          </c:cat>
          <c:val>
            <c:numRef>
              <c:f>'Budget by Phase'!$D$5:$D$13</c:f>
              <c:numCache>
                <c:formatCode>#,##0.00</c:formatCode>
                <c:ptCount val="9"/>
                <c:pt idx="0">
                  <c:v>15000</c:v>
                </c:pt>
                <c:pt idx="1">
                  <c:v>50000</c:v>
                </c:pt>
                <c:pt idx="2">
                  <c:v>98000</c:v>
                </c:pt>
                <c:pt idx="3">
                  <c:v>150000</c:v>
                </c:pt>
                <c:pt idx="4">
                  <c:v>395000</c:v>
                </c:pt>
                <c:pt idx="5">
                  <c:v>440000</c:v>
                </c:pt>
                <c:pt idx="6">
                  <c:v>515000</c:v>
                </c:pt>
                <c:pt idx="7">
                  <c:v>540000</c:v>
                </c:pt>
                <c:pt idx="8">
                  <c:v>585000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F-4AB4-A940-795E24F4D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587166"/>
        <c:axId val="86603631"/>
      </c:lineChart>
      <c:catAx>
        <c:axId val="495871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Phase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3631"/>
        <c:crosses val="autoZero"/>
        <c:auto val="1"/>
        <c:lblAlgn val="ctr"/>
        <c:lblOffset val="100"/>
        <c:noMultiLvlLbl val="0"/>
      </c:catAx>
      <c:valAx>
        <c:axId val="866036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Cumulative Cost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5871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16</xdr:col>
      <xdr:colOff>472680</xdr:colOff>
      <xdr:row>20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8"/>
  <sheetViews>
    <sheetView zoomScaleNormal="100" workbookViewId="0">
      <selection activeCell="B21" sqref="B21"/>
    </sheetView>
  </sheetViews>
  <sheetFormatPr defaultColWidth="8.6640625" defaultRowHeight="14.4" x14ac:dyDescent="0.3"/>
  <cols>
    <col min="1" max="1" width="40" customWidth="1"/>
    <col min="2" max="2" width="20" customWidth="1"/>
    <col min="3" max="3" width="16" customWidth="1"/>
    <col min="4" max="4" width="50" customWidth="1"/>
  </cols>
  <sheetData>
    <row r="1" spans="1:4" ht="21.75" customHeight="1" x14ac:dyDescent="0.3">
      <c r="A1" s="2" t="s">
        <v>72</v>
      </c>
      <c r="B1" s="2"/>
      <c r="C1" s="2"/>
      <c r="D1" s="2"/>
    </row>
    <row r="2" spans="1:4" ht="15.75" customHeight="1" x14ac:dyDescent="0.3">
      <c r="A2" s="1" t="s">
        <v>0</v>
      </c>
      <c r="B2" s="1"/>
      <c r="C2" s="1"/>
      <c r="D2" s="1"/>
    </row>
    <row r="4" spans="1:4" ht="15" customHeight="1" x14ac:dyDescent="0.3">
      <c r="A4" s="3" t="s">
        <v>1</v>
      </c>
      <c r="B4" s="3" t="s">
        <v>2</v>
      </c>
      <c r="C4" s="3" t="s">
        <v>3</v>
      </c>
      <c r="D4" s="3" t="s">
        <v>4</v>
      </c>
    </row>
    <row r="5" spans="1:4" ht="15" customHeight="1" x14ac:dyDescent="0.3">
      <c r="A5" s="4" t="s">
        <v>5</v>
      </c>
      <c r="B5" s="5">
        <v>80000</v>
      </c>
      <c r="C5" s="6">
        <f t="shared" ref="C5:C15" si="0">B5/$B$16</f>
        <v>0.13675213675213677</v>
      </c>
      <c r="D5" s="4" t="s">
        <v>6</v>
      </c>
    </row>
    <row r="6" spans="1:4" ht="15" customHeight="1" x14ac:dyDescent="0.3">
      <c r="A6" s="7" t="s">
        <v>7</v>
      </c>
      <c r="B6" s="8">
        <v>140000</v>
      </c>
      <c r="C6" s="9">
        <f t="shared" si="0"/>
        <v>0.23931623931623933</v>
      </c>
      <c r="D6" s="7" t="s">
        <v>8</v>
      </c>
    </row>
    <row r="7" spans="1:4" ht="15" customHeight="1" x14ac:dyDescent="0.3">
      <c r="A7" s="4" t="s">
        <v>9</v>
      </c>
      <c r="B7" s="5">
        <v>80000</v>
      </c>
      <c r="C7" s="6">
        <f t="shared" si="0"/>
        <v>0.13675213675213677</v>
      </c>
      <c r="D7" s="4" t="s">
        <v>10</v>
      </c>
    </row>
    <row r="8" spans="1:4" ht="15" customHeight="1" x14ac:dyDescent="0.3">
      <c r="A8" s="7" t="s">
        <v>11</v>
      </c>
      <c r="B8" s="8">
        <v>80000</v>
      </c>
      <c r="C8" s="9">
        <f t="shared" si="0"/>
        <v>0.13675213675213677</v>
      </c>
      <c r="D8" s="7" t="s">
        <v>10</v>
      </c>
    </row>
    <row r="9" spans="1:4" ht="15" customHeight="1" x14ac:dyDescent="0.3">
      <c r="A9" s="4" t="s">
        <v>12</v>
      </c>
      <c r="B9" s="5">
        <v>65000</v>
      </c>
      <c r="C9" s="6">
        <f t="shared" si="0"/>
        <v>0.1111111111111111</v>
      </c>
      <c r="D9" s="4" t="s">
        <v>13</v>
      </c>
    </row>
    <row r="10" spans="1:4" ht="15" customHeight="1" x14ac:dyDescent="0.3">
      <c r="A10" s="7" t="s">
        <v>14</v>
      </c>
      <c r="B10" s="8">
        <v>70000</v>
      </c>
      <c r="C10" s="9">
        <f t="shared" si="0"/>
        <v>0.11965811965811966</v>
      </c>
      <c r="D10" s="7" t="s">
        <v>15</v>
      </c>
    </row>
    <row r="11" spans="1:4" ht="15" customHeight="1" x14ac:dyDescent="0.3">
      <c r="A11" s="4" t="s">
        <v>16</v>
      </c>
      <c r="B11" s="5">
        <v>20000</v>
      </c>
      <c r="C11" s="6">
        <f t="shared" si="0"/>
        <v>3.4188034188034191E-2</v>
      </c>
      <c r="D11" s="4" t="s">
        <v>17</v>
      </c>
    </row>
    <row r="12" spans="1:4" ht="15" customHeight="1" x14ac:dyDescent="0.3">
      <c r="A12" s="7" t="s">
        <v>18</v>
      </c>
      <c r="B12" s="8">
        <v>12000</v>
      </c>
      <c r="C12" s="9">
        <f t="shared" si="0"/>
        <v>2.0512820512820513E-2</v>
      </c>
      <c r="D12" s="7" t="s">
        <v>19</v>
      </c>
    </row>
    <row r="13" spans="1:4" ht="15" customHeight="1" x14ac:dyDescent="0.3">
      <c r="A13" s="4" t="s">
        <v>20</v>
      </c>
      <c r="B13" s="5">
        <v>18000</v>
      </c>
      <c r="C13" s="6">
        <f t="shared" si="0"/>
        <v>3.0769230769230771E-2</v>
      </c>
      <c r="D13" s="4" t="s">
        <v>21</v>
      </c>
    </row>
    <row r="14" spans="1:4" ht="15" customHeight="1" x14ac:dyDescent="0.3">
      <c r="A14" s="7" t="s">
        <v>22</v>
      </c>
      <c r="B14" s="8">
        <v>15000</v>
      </c>
      <c r="C14" s="9">
        <f t="shared" si="0"/>
        <v>2.564102564102564E-2</v>
      </c>
      <c r="D14" s="7" t="s">
        <v>23</v>
      </c>
    </row>
    <row r="15" spans="1:4" ht="15" customHeight="1" x14ac:dyDescent="0.3">
      <c r="A15" s="4" t="s">
        <v>24</v>
      </c>
      <c r="B15" s="5">
        <v>5000</v>
      </c>
      <c r="C15" s="6">
        <f t="shared" si="0"/>
        <v>8.5470085470085479E-3</v>
      </c>
      <c r="D15" s="4" t="s">
        <v>25</v>
      </c>
    </row>
    <row r="16" spans="1:4" ht="15" customHeight="1" x14ac:dyDescent="0.3">
      <c r="A16" s="10" t="s">
        <v>26</v>
      </c>
      <c r="B16" s="11">
        <f>SUM(B5:B15)</f>
        <v>585000</v>
      </c>
      <c r="C16" s="10"/>
      <c r="D16" s="10"/>
    </row>
    <row r="17" spans="1:4" ht="23.25" customHeight="1" x14ac:dyDescent="0.3">
      <c r="A17" s="4" t="s">
        <v>27</v>
      </c>
      <c r="B17" s="5">
        <v>65000</v>
      </c>
      <c r="C17" s="4"/>
      <c r="D17" s="4" t="s">
        <v>28</v>
      </c>
    </row>
    <row r="18" spans="1:4" ht="15" customHeight="1" x14ac:dyDescent="0.3">
      <c r="A18" s="12" t="s">
        <v>29</v>
      </c>
      <c r="B18" s="13">
        <f>B16+B17</f>
        <v>650000</v>
      </c>
      <c r="C18" s="12"/>
      <c r="D18" s="12" t="s">
        <v>30</v>
      </c>
    </row>
  </sheetData>
  <mergeCells count="2">
    <mergeCell ref="A1:D1"/>
    <mergeCell ref="A2:D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zoomScaleNormal="100" workbookViewId="0">
      <selection activeCell="A2" sqref="A2:D2"/>
    </sheetView>
  </sheetViews>
  <sheetFormatPr defaultColWidth="8.6640625" defaultRowHeight="14.4" x14ac:dyDescent="0.3"/>
  <cols>
    <col min="1" max="1" width="40" customWidth="1"/>
    <col min="2" max="2" width="10" customWidth="1"/>
    <col min="3" max="3" width="20" customWidth="1"/>
    <col min="4" max="4" width="26" customWidth="1"/>
  </cols>
  <sheetData>
    <row r="1" spans="1:4" ht="21.75" customHeight="1" x14ac:dyDescent="0.3">
      <c r="A1" s="2" t="s">
        <v>74</v>
      </c>
      <c r="B1" s="2"/>
      <c r="C1" s="2"/>
      <c r="D1" s="2"/>
    </row>
    <row r="2" spans="1:4" ht="15.75" customHeight="1" x14ac:dyDescent="0.3">
      <c r="A2" s="1" t="s">
        <v>31</v>
      </c>
      <c r="B2" s="1"/>
      <c r="C2" s="1"/>
      <c r="D2" s="1"/>
    </row>
    <row r="4" spans="1:4" ht="15" customHeight="1" x14ac:dyDescent="0.3">
      <c r="A4" s="3" t="s">
        <v>32</v>
      </c>
      <c r="B4" s="3" t="s">
        <v>33</v>
      </c>
      <c r="C4" s="3" t="s">
        <v>34</v>
      </c>
      <c r="D4" s="3" t="s">
        <v>35</v>
      </c>
    </row>
    <row r="5" spans="1:4" ht="15" customHeight="1" x14ac:dyDescent="0.3">
      <c r="A5" s="4" t="s">
        <v>36</v>
      </c>
      <c r="B5" s="4" t="s">
        <v>37</v>
      </c>
      <c r="C5" s="5">
        <v>15000</v>
      </c>
      <c r="D5" s="5">
        <f>SUM($C$5:C5)</f>
        <v>15000</v>
      </c>
    </row>
    <row r="6" spans="1:4" ht="15" customHeight="1" x14ac:dyDescent="0.3">
      <c r="A6" s="7" t="s">
        <v>38</v>
      </c>
      <c r="B6" s="7" t="s">
        <v>39</v>
      </c>
      <c r="C6" s="8">
        <v>35000</v>
      </c>
      <c r="D6" s="8">
        <f>SUM($C$5:C6)</f>
        <v>50000</v>
      </c>
    </row>
    <row r="7" spans="1:4" ht="15" customHeight="1" x14ac:dyDescent="0.3">
      <c r="A7" s="4" t="s">
        <v>40</v>
      </c>
      <c r="B7" s="4" t="s">
        <v>41</v>
      </c>
      <c r="C7" s="5">
        <v>48000</v>
      </c>
      <c r="D7" s="5">
        <f>SUM($C$5:C7)</f>
        <v>98000</v>
      </c>
    </row>
    <row r="8" spans="1:4" ht="15" customHeight="1" x14ac:dyDescent="0.3">
      <c r="A8" s="7" t="s">
        <v>42</v>
      </c>
      <c r="B8" s="7" t="s">
        <v>43</v>
      </c>
      <c r="C8" s="8">
        <v>52000</v>
      </c>
      <c r="D8" s="8">
        <f>SUM($C$5:C8)</f>
        <v>150000</v>
      </c>
    </row>
    <row r="9" spans="1:4" ht="15" customHeight="1" x14ac:dyDescent="0.3">
      <c r="A9" s="4" t="s">
        <v>44</v>
      </c>
      <c r="B9" s="4" t="s">
        <v>45</v>
      </c>
      <c r="C9" s="5">
        <v>245000</v>
      </c>
      <c r="D9" s="5">
        <f>SUM($C$5:C9)</f>
        <v>395000</v>
      </c>
    </row>
    <row r="10" spans="1:4" ht="15" customHeight="1" x14ac:dyDescent="0.3">
      <c r="A10" s="7" t="s">
        <v>46</v>
      </c>
      <c r="B10" s="7" t="s">
        <v>47</v>
      </c>
      <c r="C10" s="8">
        <v>45000</v>
      </c>
      <c r="D10" s="8">
        <f>SUM($C$5:C10)</f>
        <v>440000</v>
      </c>
    </row>
    <row r="11" spans="1:4" ht="15" customHeight="1" x14ac:dyDescent="0.3">
      <c r="A11" s="4" t="s">
        <v>48</v>
      </c>
      <c r="B11" s="4" t="s">
        <v>49</v>
      </c>
      <c r="C11" s="5">
        <v>75000</v>
      </c>
      <c r="D11" s="5">
        <f>SUM($C$5:C11)</f>
        <v>515000</v>
      </c>
    </row>
    <row r="12" spans="1:4" ht="15" customHeight="1" x14ac:dyDescent="0.3">
      <c r="A12" s="7" t="s">
        <v>50</v>
      </c>
      <c r="B12" s="7" t="s">
        <v>51</v>
      </c>
      <c r="C12" s="8">
        <v>25000</v>
      </c>
      <c r="D12" s="8">
        <f>SUM($C$5:C12)</f>
        <v>540000</v>
      </c>
    </row>
    <row r="13" spans="1:4" ht="15" customHeight="1" x14ac:dyDescent="0.3">
      <c r="A13" s="4" t="s">
        <v>52</v>
      </c>
      <c r="B13" s="4" t="s">
        <v>53</v>
      </c>
      <c r="C13" s="5">
        <v>45000</v>
      </c>
      <c r="D13" s="5">
        <f>SUM($C$5:C13)</f>
        <v>585000</v>
      </c>
    </row>
    <row r="14" spans="1:4" ht="15" customHeight="1" x14ac:dyDescent="0.3">
      <c r="A14" s="14" t="s">
        <v>54</v>
      </c>
      <c r="B14" s="15"/>
      <c r="C14" s="16">
        <f>SUM(C5:C13)</f>
        <v>585000</v>
      </c>
      <c r="D14" s="15"/>
    </row>
  </sheetData>
  <mergeCells count="2">
    <mergeCell ref="A1:D1"/>
    <mergeCell ref="A2:D2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"/>
  <sheetViews>
    <sheetView tabSelected="1" zoomScaleNormal="100" workbookViewId="0">
      <selection activeCell="E9" sqref="E9"/>
    </sheetView>
  </sheetViews>
  <sheetFormatPr defaultColWidth="8.6640625" defaultRowHeight="14.4" x14ac:dyDescent="0.3"/>
  <cols>
    <col min="1" max="1" width="12" customWidth="1"/>
    <col min="2" max="2" width="30" customWidth="1"/>
    <col min="3" max="3" width="14" customWidth="1"/>
    <col min="4" max="4" width="16" customWidth="1"/>
    <col min="5" max="5" width="20" customWidth="1"/>
    <col min="6" max="6" width="16" customWidth="1"/>
    <col min="7" max="7" width="30" customWidth="1"/>
  </cols>
  <sheetData>
    <row r="1" spans="1:7" ht="21.75" customHeight="1" x14ac:dyDescent="0.3">
      <c r="A1" s="2" t="s">
        <v>75</v>
      </c>
      <c r="B1" s="2"/>
      <c r="C1" s="2"/>
      <c r="D1" s="2"/>
      <c r="E1" s="2"/>
      <c r="F1" s="2"/>
      <c r="G1" s="2"/>
    </row>
    <row r="2" spans="1:7" ht="15.75" customHeight="1" x14ac:dyDescent="0.3">
      <c r="A2" s="1" t="s">
        <v>55</v>
      </c>
      <c r="B2" s="1"/>
      <c r="C2" s="1"/>
      <c r="D2" s="1"/>
      <c r="E2" s="1"/>
      <c r="F2" s="1"/>
      <c r="G2" s="1"/>
    </row>
    <row r="4" spans="1:7" ht="23.25" customHeight="1" x14ac:dyDescent="0.3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4</v>
      </c>
    </row>
    <row r="5" spans="1:7" ht="23.25" customHeight="1" x14ac:dyDescent="0.3">
      <c r="A5" s="4" t="s">
        <v>62</v>
      </c>
      <c r="B5" s="4" t="s">
        <v>63</v>
      </c>
      <c r="C5" s="5">
        <v>0</v>
      </c>
      <c r="D5" s="4" t="s">
        <v>62</v>
      </c>
      <c r="E5" s="5">
        <v>65000</v>
      </c>
      <c r="F5" s="4" t="s">
        <v>62</v>
      </c>
      <c r="G5" s="4" t="s">
        <v>64</v>
      </c>
    </row>
  </sheetData>
  <mergeCells count="2">
    <mergeCell ref="A1:G1"/>
    <mergeCell ref="A2:G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3"/>
  <sheetViews>
    <sheetView zoomScaleNormal="100" workbookViewId="0">
      <selection activeCell="C14" sqref="C14"/>
    </sheetView>
  </sheetViews>
  <sheetFormatPr defaultColWidth="8.6640625" defaultRowHeight="14.4" x14ac:dyDescent="0.3"/>
  <cols>
    <col min="1" max="1" width="40" customWidth="1"/>
    <col min="2" max="2" width="18" customWidth="1"/>
    <col min="3" max="3" width="20" customWidth="1"/>
    <col min="4" max="4" width="16" customWidth="1"/>
    <col min="5" max="5" width="40" customWidth="1"/>
  </cols>
  <sheetData>
    <row r="1" spans="1:5" ht="21.75" customHeight="1" x14ac:dyDescent="0.3">
      <c r="A1" s="2" t="s">
        <v>73</v>
      </c>
      <c r="B1" s="2"/>
      <c r="C1" s="2"/>
      <c r="D1" s="2"/>
      <c r="E1" s="2"/>
    </row>
    <row r="2" spans="1:5" ht="15.75" customHeight="1" x14ac:dyDescent="0.3">
      <c r="A2" s="1" t="s">
        <v>65</v>
      </c>
      <c r="B2" s="1"/>
      <c r="C2" s="1"/>
      <c r="D2" s="1"/>
      <c r="E2" s="1"/>
    </row>
    <row r="4" spans="1:5" ht="23.25" customHeight="1" x14ac:dyDescent="0.3">
      <c r="A4" s="3" t="s">
        <v>32</v>
      </c>
      <c r="B4" s="3" t="s">
        <v>34</v>
      </c>
      <c r="C4" s="3" t="s">
        <v>66</v>
      </c>
      <c r="D4" s="3" t="s">
        <v>67</v>
      </c>
      <c r="E4" s="3" t="s">
        <v>68</v>
      </c>
    </row>
    <row r="5" spans="1:5" ht="15" customHeight="1" x14ac:dyDescent="0.3">
      <c r="A5" s="4" t="s">
        <v>36</v>
      </c>
      <c r="B5" s="5">
        <v>15000</v>
      </c>
      <c r="C5" s="5">
        <v>0</v>
      </c>
      <c r="D5" s="5">
        <f t="shared" ref="D5:D13" si="0">C5-B5</f>
        <v>-15000</v>
      </c>
      <c r="E5" s="4" t="s">
        <v>69</v>
      </c>
    </row>
    <row r="6" spans="1:5" ht="23.25" customHeight="1" x14ac:dyDescent="0.3">
      <c r="A6" s="7" t="s">
        <v>38</v>
      </c>
      <c r="B6" s="8">
        <v>35000</v>
      </c>
      <c r="C6" s="8">
        <v>0</v>
      </c>
      <c r="D6" s="8">
        <f t="shared" si="0"/>
        <v>-35000</v>
      </c>
      <c r="E6" s="7" t="s">
        <v>70</v>
      </c>
    </row>
    <row r="7" spans="1:5" ht="15" customHeight="1" x14ac:dyDescent="0.3">
      <c r="A7" s="4" t="s">
        <v>40</v>
      </c>
      <c r="B7" s="5">
        <v>48000</v>
      </c>
      <c r="C7" s="5">
        <v>0</v>
      </c>
      <c r="D7" s="5">
        <f t="shared" si="0"/>
        <v>-48000</v>
      </c>
      <c r="E7" s="4" t="s">
        <v>71</v>
      </c>
    </row>
    <row r="8" spans="1:5" ht="15" customHeight="1" x14ac:dyDescent="0.3">
      <c r="A8" s="7" t="s">
        <v>42</v>
      </c>
      <c r="B8" s="8">
        <v>52000</v>
      </c>
      <c r="C8" s="8">
        <v>0</v>
      </c>
      <c r="D8" s="8">
        <f t="shared" si="0"/>
        <v>-52000</v>
      </c>
      <c r="E8" s="7" t="s">
        <v>71</v>
      </c>
    </row>
    <row r="9" spans="1:5" ht="15" customHeight="1" x14ac:dyDescent="0.3">
      <c r="A9" s="4" t="s">
        <v>44</v>
      </c>
      <c r="B9" s="5">
        <v>245000</v>
      </c>
      <c r="C9" s="5">
        <v>0</v>
      </c>
      <c r="D9" s="5">
        <f t="shared" si="0"/>
        <v>-245000</v>
      </c>
      <c r="E9" s="4" t="s">
        <v>71</v>
      </c>
    </row>
    <row r="10" spans="1:5" ht="15" customHeight="1" x14ac:dyDescent="0.3">
      <c r="A10" s="7" t="s">
        <v>46</v>
      </c>
      <c r="B10" s="8">
        <v>45000</v>
      </c>
      <c r="C10" s="8">
        <v>0</v>
      </c>
      <c r="D10" s="8">
        <f t="shared" si="0"/>
        <v>-45000</v>
      </c>
      <c r="E10" s="7" t="s">
        <v>71</v>
      </c>
    </row>
    <row r="11" spans="1:5" ht="15" customHeight="1" x14ac:dyDescent="0.3">
      <c r="A11" s="4" t="s">
        <v>48</v>
      </c>
      <c r="B11" s="5">
        <v>75000</v>
      </c>
      <c r="C11" s="5">
        <v>0</v>
      </c>
      <c r="D11" s="5">
        <f t="shared" si="0"/>
        <v>-75000</v>
      </c>
      <c r="E11" s="4" t="s">
        <v>71</v>
      </c>
    </row>
    <row r="12" spans="1:5" ht="15" customHeight="1" x14ac:dyDescent="0.3">
      <c r="A12" s="7" t="s">
        <v>50</v>
      </c>
      <c r="B12" s="8">
        <v>25000</v>
      </c>
      <c r="C12" s="8">
        <v>0</v>
      </c>
      <c r="D12" s="8">
        <f t="shared" si="0"/>
        <v>-25000</v>
      </c>
      <c r="E12" s="7" t="s">
        <v>71</v>
      </c>
    </row>
    <row r="13" spans="1:5" ht="15" customHeight="1" x14ac:dyDescent="0.3">
      <c r="A13" s="4" t="s">
        <v>52</v>
      </c>
      <c r="B13" s="5">
        <v>45000</v>
      </c>
      <c r="C13" s="5">
        <v>0</v>
      </c>
      <c r="D13" s="5">
        <f t="shared" si="0"/>
        <v>-45000</v>
      </c>
      <c r="E13" s="4" t="s">
        <v>71</v>
      </c>
    </row>
  </sheetData>
  <mergeCells count="2">
    <mergeCell ref="A1:E1"/>
    <mergeCell ref="A2:E2"/>
  </mergeCell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Summary</vt:lpstr>
      <vt:lpstr>Budget by Phase</vt:lpstr>
      <vt:lpstr>Contingency Log</vt:lpstr>
      <vt:lpstr>Actual vs Planned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Rosely Chitaunhike</cp:lastModifiedBy>
  <cp:revision>3</cp:revision>
  <dcterms:created xsi:type="dcterms:W3CDTF">2026-09-03T19:35:23Z</dcterms:created>
  <dcterms:modified xsi:type="dcterms:W3CDTF">2026-09-06T14:24:11Z</dcterms:modified>
  <dc:language>en-US</dc:language>
</cp:coreProperties>
</file>